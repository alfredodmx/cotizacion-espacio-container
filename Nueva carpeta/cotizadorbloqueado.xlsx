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0b8a6a12136684f/4 Cotizador VA/"/>
    </mc:Choice>
  </mc:AlternateContent>
  <xr:revisionPtr revIDLastSave="0" documentId="8_{9A474DD7-90C5-4DB0-A3CE-1C7464BEDAE8}" xr6:coauthVersionLast="47" xr6:coauthVersionMax="47" xr10:uidLastSave="{00000000-0000-0000-0000-000000000000}"/>
  <bookViews>
    <workbookView xWindow="-108" yWindow="-108" windowWidth="23256" windowHeight="12456" tabRatio="849" firstSheet="3" activeTab="3" xr2:uid="{A0AC0F3A-081F-4C4D-A7E6-1928E67B537F}"/>
  </bookViews>
  <sheets>
    <sheet name="BD Total" sheetId="3" state="hidden" r:id="rId1"/>
    <sheet name="Desplegables" sheetId="2" state="hidden" r:id="rId2"/>
    <sheet name="BD Modelo" sheetId="14" state="hidden" r:id="rId3"/>
    <sheet name="Cubicador" sheetId="22" r:id="rId4"/>
    <sheet name="Categorias Varios" sheetId="27" r:id="rId5"/>
    <sheet name="1 - Modelo" sheetId="5" r:id="rId6"/>
    <sheet name="2 - Traspasar Modelo" sheetId="13" r:id="rId7"/>
    <sheet name="1 - Cotizador Personalizado" sheetId="19" r:id="rId8"/>
    <sheet name="2 - Margenes Proyecto" sheetId="15" r:id="rId9"/>
    <sheet name="3 - Impresión Personalizado" sheetId="18" r:id="rId10"/>
    <sheet name="4 - Impresión  Compras" sheetId="20" r:id="rId11"/>
  </sheets>
  <definedNames>
    <definedName name="_xlnm._FilterDatabase" localSheetId="2" hidden="1">'BD Modelo'!$A$1:$G$144</definedName>
    <definedName name="_xlnm._FilterDatabase" localSheetId="0" hidden="1">'BD Total'!$A$1:$G$506</definedName>
    <definedName name="SegmentaciónDeDatos_Hoja_Impresión_Clte.">#N/A</definedName>
    <definedName name="SegmentaciónDeDatos_Hoja_Impresión_Compras.">#N/A</definedName>
    <definedName name="SegmentaciónDeDatos_Modelos">#N/A</definedName>
  </definedNames>
  <calcPr calcId="191028"/>
  <pivotCaches>
    <pivotCache cacheId="0" r:id="rId12"/>
    <pivotCache cacheId="1" r:id="rId13"/>
    <pivotCache cacheId="2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" i="3" l="1"/>
  <c r="G144" i="14"/>
  <c r="C144" i="14" s="1"/>
  <c r="F144" i="14"/>
  <c r="E144" i="14"/>
  <c r="G143" i="14"/>
  <c r="C143" i="14" s="1"/>
  <c r="F143" i="14"/>
  <c r="E143" i="14"/>
  <c r="G142" i="14"/>
  <c r="C142" i="14" s="1"/>
  <c r="F142" i="14"/>
  <c r="E142" i="14"/>
  <c r="G141" i="14"/>
  <c r="C141" i="14" s="1"/>
  <c r="F141" i="14"/>
  <c r="E141" i="14"/>
  <c r="G140" i="14"/>
  <c r="C140" i="14" s="1"/>
  <c r="F140" i="14"/>
  <c r="E140" i="14"/>
  <c r="G43" i="14"/>
  <c r="C43" i="14" s="1"/>
  <c r="F43" i="14"/>
  <c r="E43" i="14"/>
  <c r="G42" i="14"/>
  <c r="C42" i="14" s="1"/>
  <c r="F42" i="14"/>
  <c r="E42" i="14"/>
  <c r="F14" i="19"/>
  <c r="C7" i="19"/>
  <c r="H14" i="19"/>
  <c r="I14" i="19"/>
  <c r="H15" i="19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0" i="19"/>
  <c r="I150" i="19"/>
  <c r="H151" i="19"/>
  <c r="I151" i="19"/>
  <c r="H152" i="19"/>
  <c r="I152" i="19"/>
  <c r="H153" i="19"/>
  <c r="I153" i="19"/>
  <c r="H154" i="19"/>
  <c r="I154" i="19"/>
  <c r="H155" i="19"/>
  <c r="I155" i="19"/>
  <c r="H156" i="19"/>
  <c r="I156" i="19"/>
  <c r="H157" i="19"/>
  <c r="I157" i="19"/>
  <c r="H158" i="19"/>
  <c r="I158" i="19"/>
  <c r="H159" i="19"/>
  <c r="I159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H222" i="19"/>
  <c r="I222" i="19"/>
  <c r="H223" i="19"/>
  <c r="I223" i="19"/>
  <c r="H224" i="19"/>
  <c r="I224" i="19"/>
  <c r="H225" i="19"/>
  <c r="I225" i="19"/>
  <c r="H226" i="19"/>
  <c r="I226" i="19"/>
  <c r="H227" i="19"/>
  <c r="I227" i="19"/>
  <c r="H228" i="19"/>
  <c r="I228" i="19"/>
  <c r="H229" i="19"/>
  <c r="I229" i="19"/>
  <c r="H230" i="19"/>
  <c r="I230" i="19"/>
  <c r="H231" i="19"/>
  <c r="I231" i="19"/>
  <c r="H232" i="19"/>
  <c r="I232" i="19"/>
  <c r="H233" i="19"/>
  <c r="I233" i="19"/>
  <c r="H234" i="19"/>
  <c r="I234" i="19"/>
  <c r="H235" i="19"/>
  <c r="I235" i="19"/>
  <c r="H236" i="19"/>
  <c r="I236" i="19"/>
  <c r="H237" i="19"/>
  <c r="I237" i="19"/>
  <c r="H238" i="19"/>
  <c r="I238" i="19"/>
  <c r="H239" i="19"/>
  <c r="I239" i="19"/>
  <c r="H240" i="19"/>
  <c r="I240" i="19"/>
  <c r="H241" i="19"/>
  <c r="I241" i="19"/>
  <c r="H242" i="19"/>
  <c r="I242" i="19"/>
  <c r="H243" i="19"/>
  <c r="I243" i="19"/>
  <c r="H244" i="19"/>
  <c r="I244" i="19"/>
  <c r="H245" i="19"/>
  <c r="I245" i="19"/>
  <c r="H246" i="19"/>
  <c r="I246" i="19"/>
  <c r="H247" i="19"/>
  <c r="I247" i="19"/>
  <c r="H248" i="19"/>
  <c r="I248" i="19"/>
  <c r="H249" i="19"/>
  <c r="I249" i="19"/>
  <c r="H250" i="19"/>
  <c r="I250" i="19"/>
  <c r="H251" i="19"/>
  <c r="I251" i="19"/>
  <c r="H252" i="19"/>
  <c r="I252" i="19"/>
  <c r="H253" i="19"/>
  <c r="I253" i="19"/>
  <c r="H254" i="19"/>
  <c r="I254" i="19"/>
  <c r="H255" i="19"/>
  <c r="I255" i="19"/>
  <c r="H256" i="19"/>
  <c r="I256" i="19"/>
  <c r="H257" i="19"/>
  <c r="I257" i="19"/>
  <c r="H258" i="19"/>
  <c r="I258" i="19"/>
  <c r="H259" i="19"/>
  <c r="I259" i="19"/>
  <c r="H260" i="19"/>
  <c r="I260" i="19"/>
  <c r="H261" i="19"/>
  <c r="I261" i="19"/>
  <c r="H262" i="19"/>
  <c r="I262" i="19"/>
  <c r="H263" i="19"/>
  <c r="I263" i="19"/>
  <c r="H264" i="19"/>
  <c r="I264" i="19"/>
  <c r="H265" i="19"/>
  <c r="I265" i="19"/>
  <c r="H266" i="19"/>
  <c r="I266" i="19"/>
  <c r="H267" i="19"/>
  <c r="I267" i="19"/>
  <c r="H268" i="19"/>
  <c r="I268" i="19"/>
  <c r="H269" i="19"/>
  <c r="I269" i="19"/>
  <c r="H270" i="19"/>
  <c r="I270" i="19"/>
  <c r="H271" i="19"/>
  <c r="I271" i="19"/>
  <c r="H272" i="19"/>
  <c r="I272" i="19"/>
  <c r="H273" i="19"/>
  <c r="I273" i="19"/>
  <c r="H274" i="19"/>
  <c r="I274" i="19"/>
  <c r="H275" i="19"/>
  <c r="I275" i="19"/>
  <c r="H276" i="19"/>
  <c r="I276" i="19"/>
  <c r="H277" i="19"/>
  <c r="I277" i="19"/>
  <c r="H278" i="19"/>
  <c r="I278" i="19"/>
  <c r="H279" i="19"/>
  <c r="I279" i="19"/>
  <c r="H280" i="19"/>
  <c r="I280" i="19"/>
  <c r="H281" i="19"/>
  <c r="I281" i="19"/>
  <c r="H282" i="19"/>
  <c r="I282" i="19"/>
  <c r="H283" i="19"/>
  <c r="I283" i="19"/>
  <c r="H284" i="19"/>
  <c r="I284" i="19"/>
  <c r="H285" i="19"/>
  <c r="I285" i="19"/>
  <c r="H286" i="19"/>
  <c r="I286" i="19"/>
  <c r="H287" i="19"/>
  <c r="I287" i="19"/>
  <c r="H288" i="19"/>
  <c r="I288" i="19"/>
  <c r="H289" i="19"/>
  <c r="I289" i="19"/>
  <c r="H290" i="19"/>
  <c r="I290" i="19"/>
  <c r="H291" i="19"/>
  <c r="I291" i="19"/>
  <c r="H292" i="19"/>
  <c r="I292" i="19"/>
  <c r="H293" i="19"/>
  <c r="I293" i="19"/>
  <c r="H294" i="19"/>
  <c r="I294" i="19"/>
  <c r="H295" i="19"/>
  <c r="I295" i="19"/>
  <c r="H296" i="19"/>
  <c r="I296" i="19"/>
  <c r="H297" i="19"/>
  <c r="I297" i="19"/>
  <c r="H298" i="19"/>
  <c r="I298" i="19"/>
  <c r="G3" i="14"/>
  <c r="C3" i="14" s="1"/>
  <c r="F3" i="14"/>
  <c r="E3" i="14"/>
  <c r="A134" i="13"/>
  <c r="A145" i="13"/>
  <c r="A146" i="13"/>
  <c r="A149" i="13"/>
  <c r="A150" i="13"/>
  <c r="C155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B13" i="13"/>
  <c r="A13" i="13" s="1"/>
  <c r="B14" i="13"/>
  <c r="A14" i="13" s="1"/>
  <c r="B15" i="13"/>
  <c r="A15" i="13" s="1"/>
  <c r="B16" i="13"/>
  <c r="A16" i="13" s="1"/>
  <c r="B17" i="13"/>
  <c r="A17" i="13" s="1"/>
  <c r="B18" i="13"/>
  <c r="A18" i="13" s="1"/>
  <c r="B19" i="13"/>
  <c r="A19" i="13" s="1"/>
  <c r="B20" i="13"/>
  <c r="A20" i="13" s="1"/>
  <c r="B21" i="13"/>
  <c r="A21" i="13" s="1"/>
  <c r="B22" i="13"/>
  <c r="A22" i="13" s="1"/>
  <c r="B23" i="13"/>
  <c r="A23" i="13" s="1"/>
  <c r="B24" i="13"/>
  <c r="A24" i="13" s="1"/>
  <c r="B25" i="13"/>
  <c r="A25" i="13" s="1"/>
  <c r="B26" i="13"/>
  <c r="A26" i="13" s="1"/>
  <c r="B27" i="13"/>
  <c r="A27" i="13" s="1"/>
  <c r="B28" i="13"/>
  <c r="A28" i="13" s="1"/>
  <c r="B29" i="13"/>
  <c r="A29" i="13" s="1"/>
  <c r="B30" i="13"/>
  <c r="A30" i="13" s="1"/>
  <c r="B31" i="13"/>
  <c r="A31" i="13" s="1"/>
  <c r="B32" i="13"/>
  <c r="A32" i="13" s="1"/>
  <c r="B33" i="13"/>
  <c r="A33" i="13" s="1"/>
  <c r="B34" i="13"/>
  <c r="A34" i="13" s="1"/>
  <c r="B35" i="13"/>
  <c r="A35" i="13" s="1"/>
  <c r="B36" i="13"/>
  <c r="A36" i="13" s="1"/>
  <c r="B37" i="13"/>
  <c r="A37" i="13" s="1"/>
  <c r="B38" i="13"/>
  <c r="A38" i="13" s="1"/>
  <c r="B39" i="13"/>
  <c r="A39" i="13" s="1"/>
  <c r="B40" i="13"/>
  <c r="A40" i="13" s="1"/>
  <c r="B41" i="13"/>
  <c r="A41" i="13" s="1"/>
  <c r="B42" i="13"/>
  <c r="A42" i="13" s="1"/>
  <c r="B43" i="13"/>
  <c r="A43" i="13" s="1"/>
  <c r="B44" i="13"/>
  <c r="A44" i="13" s="1"/>
  <c r="B45" i="13"/>
  <c r="A45" i="13" s="1"/>
  <c r="B46" i="13"/>
  <c r="A46" i="13" s="1"/>
  <c r="B47" i="13"/>
  <c r="A47" i="13" s="1"/>
  <c r="B48" i="13"/>
  <c r="A48" i="13" s="1"/>
  <c r="B49" i="13"/>
  <c r="A49" i="13" s="1"/>
  <c r="B50" i="13"/>
  <c r="A50" i="13" s="1"/>
  <c r="B51" i="13"/>
  <c r="A51" i="13" s="1"/>
  <c r="B52" i="13"/>
  <c r="A52" i="13" s="1"/>
  <c r="B53" i="13"/>
  <c r="A53" i="13" s="1"/>
  <c r="B54" i="13"/>
  <c r="A54" i="13" s="1"/>
  <c r="B55" i="13"/>
  <c r="A55" i="13" s="1"/>
  <c r="B56" i="13"/>
  <c r="A56" i="13" s="1"/>
  <c r="B57" i="13"/>
  <c r="A57" i="13" s="1"/>
  <c r="B58" i="13"/>
  <c r="A58" i="13" s="1"/>
  <c r="B59" i="13"/>
  <c r="A59" i="13" s="1"/>
  <c r="B60" i="13"/>
  <c r="A60" i="13" s="1"/>
  <c r="B61" i="13"/>
  <c r="A61" i="13" s="1"/>
  <c r="B62" i="13"/>
  <c r="A62" i="13" s="1"/>
  <c r="B63" i="13"/>
  <c r="A63" i="13" s="1"/>
  <c r="B64" i="13"/>
  <c r="A64" i="13" s="1"/>
  <c r="B65" i="13"/>
  <c r="A65" i="13" s="1"/>
  <c r="B66" i="13"/>
  <c r="A66" i="13" s="1"/>
  <c r="B67" i="13"/>
  <c r="A67" i="13" s="1"/>
  <c r="B68" i="13"/>
  <c r="A68" i="13" s="1"/>
  <c r="B69" i="13"/>
  <c r="A69" i="13" s="1"/>
  <c r="B70" i="13"/>
  <c r="A70" i="13" s="1"/>
  <c r="B71" i="13"/>
  <c r="A71" i="13" s="1"/>
  <c r="B72" i="13"/>
  <c r="A72" i="13" s="1"/>
  <c r="B73" i="13"/>
  <c r="A73" i="13" s="1"/>
  <c r="B74" i="13"/>
  <c r="A74" i="13" s="1"/>
  <c r="B75" i="13"/>
  <c r="A75" i="13" s="1"/>
  <c r="B76" i="13"/>
  <c r="A76" i="13" s="1"/>
  <c r="B77" i="13"/>
  <c r="A77" i="13" s="1"/>
  <c r="B78" i="13"/>
  <c r="A78" i="13" s="1"/>
  <c r="B79" i="13"/>
  <c r="A79" i="13" s="1"/>
  <c r="B80" i="13"/>
  <c r="A80" i="13" s="1"/>
  <c r="B81" i="13"/>
  <c r="A81" i="13" s="1"/>
  <c r="B82" i="13"/>
  <c r="A82" i="13" s="1"/>
  <c r="B83" i="13"/>
  <c r="A83" i="13" s="1"/>
  <c r="B84" i="13"/>
  <c r="A84" i="13" s="1"/>
  <c r="B85" i="13"/>
  <c r="A85" i="13" s="1"/>
  <c r="B86" i="13"/>
  <c r="A86" i="13" s="1"/>
  <c r="B87" i="13"/>
  <c r="A87" i="13" s="1"/>
  <c r="B88" i="13"/>
  <c r="A88" i="13" s="1"/>
  <c r="B89" i="13"/>
  <c r="A89" i="13" s="1"/>
  <c r="B90" i="13"/>
  <c r="A90" i="13" s="1"/>
  <c r="B91" i="13"/>
  <c r="A91" i="13" s="1"/>
  <c r="B92" i="13"/>
  <c r="A92" i="13" s="1"/>
  <c r="B93" i="13"/>
  <c r="A93" i="13" s="1"/>
  <c r="B94" i="13"/>
  <c r="A94" i="13" s="1"/>
  <c r="B95" i="13"/>
  <c r="A95" i="13" s="1"/>
  <c r="B96" i="13"/>
  <c r="A96" i="13" s="1"/>
  <c r="B97" i="13"/>
  <c r="A97" i="13" s="1"/>
  <c r="B98" i="13"/>
  <c r="A98" i="13" s="1"/>
  <c r="B99" i="13"/>
  <c r="A99" i="13" s="1"/>
  <c r="B100" i="13"/>
  <c r="A100" i="13" s="1"/>
  <c r="B101" i="13"/>
  <c r="A101" i="13" s="1"/>
  <c r="B102" i="13"/>
  <c r="A102" i="13" s="1"/>
  <c r="B103" i="13"/>
  <c r="A103" i="13" s="1"/>
  <c r="B104" i="13"/>
  <c r="A104" i="13" s="1"/>
  <c r="B105" i="13"/>
  <c r="A105" i="13" s="1"/>
  <c r="B106" i="13"/>
  <c r="A106" i="13" s="1"/>
  <c r="B107" i="13"/>
  <c r="A107" i="13" s="1"/>
  <c r="B108" i="13"/>
  <c r="A108" i="13" s="1"/>
  <c r="B109" i="13"/>
  <c r="A109" i="13" s="1"/>
  <c r="B110" i="13"/>
  <c r="A110" i="13" s="1"/>
  <c r="B111" i="13"/>
  <c r="A111" i="13" s="1"/>
  <c r="B112" i="13"/>
  <c r="A112" i="13" s="1"/>
  <c r="B113" i="13"/>
  <c r="A113" i="13" s="1"/>
  <c r="B114" i="13"/>
  <c r="A114" i="13" s="1"/>
  <c r="B115" i="13"/>
  <c r="A115" i="13" s="1"/>
  <c r="B116" i="13"/>
  <c r="A116" i="13" s="1"/>
  <c r="B117" i="13"/>
  <c r="A117" i="13" s="1"/>
  <c r="B118" i="13"/>
  <c r="A118" i="13" s="1"/>
  <c r="B119" i="13"/>
  <c r="A119" i="13" s="1"/>
  <c r="B120" i="13"/>
  <c r="A120" i="13" s="1"/>
  <c r="B121" i="13"/>
  <c r="A121" i="13" s="1"/>
  <c r="B122" i="13"/>
  <c r="A122" i="13" s="1"/>
  <c r="B123" i="13"/>
  <c r="A123" i="13" s="1"/>
  <c r="B124" i="13"/>
  <c r="A124" i="13" s="1"/>
  <c r="B125" i="13"/>
  <c r="A125" i="13" s="1"/>
  <c r="B126" i="13"/>
  <c r="A126" i="13" s="1"/>
  <c r="B127" i="13"/>
  <c r="A127" i="13" s="1"/>
  <c r="B128" i="13"/>
  <c r="A128" i="13" s="1"/>
  <c r="B129" i="13"/>
  <c r="A129" i="13" s="1"/>
  <c r="B130" i="13"/>
  <c r="A130" i="13" s="1"/>
  <c r="B131" i="13"/>
  <c r="A131" i="13" s="1"/>
  <c r="B132" i="13"/>
  <c r="A132" i="13" s="1"/>
  <c r="B133" i="13"/>
  <c r="A133" i="13" s="1"/>
  <c r="B134" i="13"/>
  <c r="B135" i="13"/>
  <c r="A135" i="13" s="1"/>
  <c r="B136" i="13"/>
  <c r="A136" i="13" s="1"/>
  <c r="B137" i="13"/>
  <c r="A137" i="13" s="1"/>
  <c r="B138" i="13"/>
  <c r="A138" i="13" s="1"/>
  <c r="B139" i="13"/>
  <c r="A139" i="13" s="1"/>
  <c r="B140" i="13"/>
  <c r="A140" i="13" s="1"/>
  <c r="B141" i="13"/>
  <c r="A141" i="13" s="1"/>
  <c r="B142" i="13"/>
  <c r="A142" i="13" s="1"/>
  <c r="B143" i="13"/>
  <c r="A143" i="13" s="1"/>
  <c r="B144" i="13"/>
  <c r="A144" i="13" s="1"/>
  <c r="B145" i="13"/>
  <c r="B146" i="13"/>
  <c r="B147" i="13"/>
  <c r="A147" i="13" s="1"/>
  <c r="B148" i="13"/>
  <c r="A148" i="13" s="1"/>
  <c r="B149" i="13"/>
  <c r="B150" i="13"/>
  <c r="B151" i="13"/>
  <c r="A151" i="13" s="1"/>
  <c r="B152" i="13"/>
  <c r="A152" i="13" s="1"/>
  <c r="B153" i="13"/>
  <c r="A153" i="13" s="1"/>
  <c r="B154" i="13"/>
  <c r="A154" i="13" s="1"/>
  <c r="B155" i="13"/>
  <c r="A155" i="13" s="1"/>
  <c r="C12" i="13"/>
  <c r="B12" i="13"/>
  <c r="A12" i="13" s="1"/>
  <c r="G129" i="14"/>
  <c r="C129" i="14" s="1"/>
  <c r="F129" i="14"/>
  <c r="E129" i="14"/>
  <c r="G41" i="14"/>
  <c r="C41" i="14" s="1"/>
  <c r="F41" i="14"/>
  <c r="E41" i="14"/>
  <c r="G126" i="14"/>
  <c r="C126" i="14" s="1"/>
  <c r="F126" i="14"/>
  <c r="E126" i="14"/>
  <c r="G128" i="14"/>
  <c r="C128" i="14" s="1"/>
  <c r="F128" i="14"/>
  <c r="E128" i="14"/>
  <c r="G123" i="14"/>
  <c r="C123" i="14" s="1"/>
  <c r="F123" i="14"/>
  <c r="E123" i="14"/>
  <c r="G119" i="14"/>
  <c r="C119" i="14" s="1"/>
  <c r="F119" i="14"/>
  <c r="E119" i="14"/>
  <c r="G121" i="14"/>
  <c r="C121" i="14" s="1"/>
  <c r="F121" i="14"/>
  <c r="E121" i="14"/>
  <c r="G120" i="14"/>
  <c r="C120" i="14" s="1"/>
  <c r="F120" i="14"/>
  <c r="E120" i="14"/>
  <c r="G122" i="14"/>
  <c r="C122" i="14" s="1"/>
  <c r="F122" i="14"/>
  <c r="E122" i="14"/>
  <c r="G124" i="14"/>
  <c r="C124" i="14" s="1"/>
  <c r="F124" i="14"/>
  <c r="E124" i="14"/>
  <c r="G125" i="14"/>
  <c r="C125" i="14" s="1"/>
  <c r="F125" i="14"/>
  <c r="E125" i="14"/>
  <c r="G127" i="14"/>
  <c r="C127" i="14" s="1"/>
  <c r="F127" i="14"/>
  <c r="E127" i="14"/>
  <c r="G78" i="14"/>
  <c r="C78" i="14" s="1"/>
  <c r="F78" i="14"/>
  <c r="E78" i="14"/>
  <c r="G76" i="14"/>
  <c r="C76" i="14" s="1"/>
  <c r="F76" i="14"/>
  <c r="E76" i="14"/>
  <c r="G77" i="14"/>
  <c r="C77" i="14" s="1"/>
  <c r="F77" i="14"/>
  <c r="E77" i="14"/>
  <c r="G79" i="14"/>
  <c r="C79" i="14" s="1"/>
  <c r="F79" i="14"/>
  <c r="E79" i="14"/>
  <c r="G75" i="14"/>
  <c r="C75" i="14" s="1"/>
  <c r="F75" i="14"/>
  <c r="E75" i="14"/>
  <c r="G80" i="14"/>
  <c r="C80" i="14" s="1"/>
  <c r="F80" i="14"/>
  <c r="E80" i="14"/>
  <c r="G98" i="14"/>
  <c r="C98" i="14" s="1"/>
  <c r="F98" i="14"/>
  <c r="E98" i="14"/>
  <c r="G97" i="14"/>
  <c r="C97" i="14" s="1"/>
  <c r="F97" i="14"/>
  <c r="E97" i="14"/>
  <c r="G96" i="14"/>
  <c r="C96" i="14" s="1"/>
  <c r="F96" i="14"/>
  <c r="E96" i="14"/>
  <c r="G99" i="14"/>
  <c r="C99" i="14" s="1"/>
  <c r="F99" i="14"/>
  <c r="E99" i="14"/>
  <c r="G81" i="14"/>
  <c r="C81" i="14" s="1"/>
  <c r="F81" i="14"/>
  <c r="E81" i="14"/>
  <c r="G85" i="14"/>
  <c r="C85" i="14" s="1"/>
  <c r="F85" i="14"/>
  <c r="E85" i="14"/>
  <c r="G84" i="14"/>
  <c r="C84" i="14" s="1"/>
  <c r="F84" i="14"/>
  <c r="E84" i="14"/>
  <c r="G83" i="14"/>
  <c r="C83" i="14" s="1"/>
  <c r="F83" i="14"/>
  <c r="E83" i="14"/>
  <c r="G82" i="14"/>
  <c r="C82" i="14" s="1"/>
  <c r="F82" i="14"/>
  <c r="E82" i="14"/>
  <c r="G69" i="14"/>
  <c r="C69" i="14" s="1"/>
  <c r="F69" i="14"/>
  <c r="E69" i="14"/>
  <c r="G58" i="14"/>
  <c r="C58" i="14" s="1"/>
  <c r="F58" i="14"/>
  <c r="E58" i="14"/>
  <c r="B118" i="14"/>
  <c r="G115" i="14"/>
  <c r="C115" i="14" s="1"/>
  <c r="F115" i="14"/>
  <c r="E115" i="14"/>
  <c r="G116" i="14"/>
  <c r="C116" i="14" s="1"/>
  <c r="F116" i="14"/>
  <c r="E116" i="14"/>
  <c r="G73" i="14"/>
  <c r="C73" i="14" s="1"/>
  <c r="F73" i="14"/>
  <c r="E73" i="14"/>
  <c r="E59" i="14"/>
  <c r="F59" i="14"/>
  <c r="G59" i="14"/>
  <c r="C59" i="14" s="1"/>
  <c r="E45" i="14"/>
  <c r="F45" i="14"/>
  <c r="G45" i="14"/>
  <c r="C45" i="14" s="1"/>
  <c r="E60" i="14"/>
  <c r="F60" i="14"/>
  <c r="G60" i="14"/>
  <c r="C60" i="14" s="1"/>
  <c r="E70" i="14"/>
  <c r="F70" i="14"/>
  <c r="E71" i="14"/>
  <c r="F71" i="14"/>
  <c r="G71" i="14"/>
  <c r="C71" i="14" s="1"/>
  <c r="E51" i="14"/>
  <c r="F51" i="14"/>
  <c r="G51" i="14"/>
  <c r="C51" i="14" s="1"/>
  <c r="E68" i="14"/>
  <c r="F68" i="14"/>
  <c r="G68" i="14"/>
  <c r="C68" i="14" s="1"/>
  <c r="E65" i="14"/>
  <c r="F65" i="14"/>
  <c r="G65" i="14"/>
  <c r="C65" i="14" s="1"/>
  <c r="E64" i="14"/>
  <c r="F64" i="14"/>
  <c r="G64" i="14"/>
  <c r="C64" i="14" s="1"/>
  <c r="E56" i="14"/>
  <c r="F56" i="14"/>
  <c r="G56" i="14"/>
  <c r="C56" i="14" s="1"/>
  <c r="E48" i="14"/>
  <c r="F48" i="14"/>
  <c r="G48" i="14"/>
  <c r="C48" i="14" s="1"/>
  <c r="E49" i="14"/>
  <c r="F49" i="14"/>
  <c r="G49" i="14"/>
  <c r="C49" i="14" s="1"/>
  <c r="E67" i="14"/>
  <c r="F67" i="14"/>
  <c r="G67" i="14"/>
  <c r="C67" i="14" s="1"/>
  <c r="E57" i="14"/>
  <c r="F57" i="14"/>
  <c r="G57" i="14"/>
  <c r="C57" i="14" s="1"/>
  <c r="E66" i="14"/>
  <c r="F66" i="14"/>
  <c r="G66" i="14"/>
  <c r="C66" i="14" s="1"/>
  <c r="E63" i="14"/>
  <c r="F63" i="14"/>
  <c r="G63" i="14"/>
  <c r="C63" i="14" s="1"/>
  <c r="E46" i="14"/>
  <c r="F46" i="14"/>
  <c r="G46" i="14"/>
  <c r="C46" i="14" s="1"/>
  <c r="E72" i="14"/>
  <c r="F72" i="14"/>
  <c r="G72" i="14"/>
  <c r="C72" i="14" s="1"/>
  <c r="E53" i="14"/>
  <c r="F53" i="14"/>
  <c r="G53" i="14"/>
  <c r="C53" i="14" s="1"/>
  <c r="E54" i="14"/>
  <c r="F54" i="14"/>
  <c r="G54" i="14"/>
  <c r="C54" i="14" s="1"/>
  <c r="E61" i="14"/>
  <c r="F61" i="14"/>
  <c r="G61" i="14"/>
  <c r="C61" i="14" s="1"/>
  <c r="E62" i="14"/>
  <c r="F62" i="14"/>
  <c r="G62" i="14"/>
  <c r="C62" i="14" s="1"/>
  <c r="E55" i="14"/>
  <c r="F55" i="14"/>
  <c r="G55" i="14"/>
  <c r="C55" i="14" s="1"/>
  <c r="E50" i="14"/>
  <c r="F50" i="14"/>
  <c r="E47" i="14"/>
  <c r="F47" i="14"/>
  <c r="G47" i="14"/>
  <c r="C47" i="14" s="1"/>
  <c r="E44" i="14"/>
  <c r="F44" i="14"/>
  <c r="G44" i="14"/>
  <c r="C44" i="14" s="1"/>
  <c r="E52" i="14"/>
  <c r="F52" i="14"/>
  <c r="G52" i="14"/>
  <c r="C52" i="14" s="1"/>
  <c r="G117" i="14"/>
  <c r="C117" i="14" s="1"/>
  <c r="F117" i="14"/>
  <c r="E117" i="14"/>
  <c r="G113" i="14"/>
  <c r="C113" i="14" s="1"/>
  <c r="F113" i="14"/>
  <c r="E113" i="14"/>
  <c r="G112" i="14"/>
  <c r="C112" i="14" s="1"/>
  <c r="F112" i="14"/>
  <c r="E112" i="14"/>
  <c r="G101" i="14"/>
  <c r="C101" i="14" s="1"/>
  <c r="F101" i="14"/>
  <c r="E101" i="14"/>
  <c r="G100" i="14"/>
  <c r="C100" i="14" s="1"/>
  <c r="F100" i="14"/>
  <c r="E100" i="14"/>
  <c r="G118" i="14"/>
  <c r="F118" i="14"/>
  <c r="E118" i="14"/>
  <c r="G108" i="14"/>
  <c r="C108" i="14" s="1"/>
  <c r="F108" i="14"/>
  <c r="E108" i="14"/>
  <c r="G114" i="14"/>
  <c r="C114" i="14" s="1"/>
  <c r="F114" i="14"/>
  <c r="E114" i="14"/>
  <c r="G109" i="14"/>
  <c r="C109" i="14" s="1"/>
  <c r="F109" i="14"/>
  <c r="E109" i="14"/>
  <c r="G104" i="14"/>
  <c r="C104" i="14" s="1"/>
  <c r="F104" i="14"/>
  <c r="E104" i="14"/>
  <c r="G111" i="14"/>
  <c r="C111" i="14" s="1"/>
  <c r="F111" i="14"/>
  <c r="E111" i="14"/>
  <c r="G102" i="14"/>
  <c r="C102" i="14" s="1"/>
  <c r="F102" i="14"/>
  <c r="E102" i="14"/>
  <c r="G106" i="14"/>
  <c r="C106" i="14" s="1"/>
  <c r="F106" i="14"/>
  <c r="E106" i="14"/>
  <c r="G110" i="14"/>
  <c r="C110" i="14" s="1"/>
  <c r="F110" i="14"/>
  <c r="E110" i="14"/>
  <c r="G103" i="14"/>
  <c r="C103" i="14" s="1"/>
  <c r="F103" i="14"/>
  <c r="E103" i="14"/>
  <c r="G105" i="14"/>
  <c r="C105" i="14" s="1"/>
  <c r="F105" i="14"/>
  <c r="E105" i="14"/>
  <c r="G107" i="14"/>
  <c r="C107" i="14" s="1"/>
  <c r="F107" i="14"/>
  <c r="E107" i="14"/>
  <c r="C118" i="14" l="1"/>
  <c r="G74" i="14"/>
  <c r="C74" i="14" s="1"/>
  <c r="F74" i="14"/>
  <c r="E74" i="14"/>
  <c r="E87" i="14" l="1"/>
  <c r="F87" i="14"/>
  <c r="G87" i="14"/>
  <c r="C87" i="14" s="1"/>
  <c r="E88" i="14"/>
  <c r="F88" i="14"/>
  <c r="G88" i="14"/>
  <c r="C88" i="14" s="1"/>
  <c r="E89" i="14"/>
  <c r="F89" i="14"/>
  <c r="G89" i="14"/>
  <c r="C89" i="14" s="1"/>
  <c r="E90" i="14"/>
  <c r="F90" i="14"/>
  <c r="G90" i="14"/>
  <c r="C90" i="14" s="1"/>
  <c r="E86" i="14"/>
  <c r="F86" i="14"/>
  <c r="G86" i="14"/>
  <c r="C86" i="14" s="1"/>
  <c r="E92" i="14"/>
  <c r="F92" i="14"/>
  <c r="G92" i="14"/>
  <c r="C92" i="14" s="1"/>
  <c r="E93" i="14"/>
  <c r="F93" i="14"/>
  <c r="G93" i="14"/>
  <c r="C93" i="14" s="1"/>
  <c r="E94" i="14"/>
  <c r="F94" i="14"/>
  <c r="G94" i="14"/>
  <c r="C94" i="14" s="1"/>
  <c r="E95" i="14"/>
  <c r="F95" i="14"/>
  <c r="G95" i="14"/>
  <c r="C95" i="14" s="1"/>
  <c r="E91" i="14"/>
  <c r="F91" i="14"/>
  <c r="G91" i="14"/>
  <c r="C91" i="14" s="1"/>
  <c r="D53" i="3"/>
  <c r="G27" i="14" s="1"/>
  <c r="C27" i="14" s="1"/>
  <c r="F6" i="14"/>
  <c r="E6" i="14"/>
  <c r="F27" i="14"/>
  <c r="E27" i="14"/>
  <c r="G38" i="14"/>
  <c r="C38" i="14" s="1"/>
  <c r="F38" i="14"/>
  <c r="E38" i="14"/>
  <c r="G40" i="14"/>
  <c r="C40" i="14" s="1"/>
  <c r="F40" i="14"/>
  <c r="E40" i="14"/>
  <c r="G39" i="14"/>
  <c r="C39" i="14" s="1"/>
  <c r="F39" i="14"/>
  <c r="E39" i="14"/>
  <c r="G37" i="14"/>
  <c r="C37" i="14" s="1"/>
  <c r="F37" i="14"/>
  <c r="E37" i="14"/>
  <c r="G36" i="14"/>
  <c r="C36" i="14" s="1"/>
  <c r="F36" i="14"/>
  <c r="E36" i="14"/>
  <c r="G35" i="14"/>
  <c r="C35" i="14" s="1"/>
  <c r="F35" i="14"/>
  <c r="E35" i="14"/>
  <c r="G34" i="14"/>
  <c r="C34" i="14" s="1"/>
  <c r="F34" i="14"/>
  <c r="E34" i="14"/>
  <c r="G33" i="14"/>
  <c r="C33" i="14" s="1"/>
  <c r="F33" i="14"/>
  <c r="E33" i="14"/>
  <c r="G32" i="14"/>
  <c r="C32" i="14" s="1"/>
  <c r="F32" i="14"/>
  <c r="E32" i="14"/>
  <c r="G31" i="14"/>
  <c r="C31" i="14" s="1"/>
  <c r="F31" i="14"/>
  <c r="E31" i="14"/>
  <c r="G30" i="14"/>
  <c r="C30" i="14" s="1"/>
  <c r="F30" i="14"/>
  <c r="E30" i="14"/>
  <c r="G26" i="14"/>
  <c r="C26" i="14" s="1"/>
  <c r="F26" i="14"/>
  <c r="E26" i="14"/>
  <c r="G29" i="14"/>
  <c r="C29" i="14" s="1"/>
  <c r="F29" i="14"/>
  <c r="E29" i="14"/>
  <c r="G28" i="14"/>
  <c r="C28" i="14" s="1"/>
  <c r="F28" i="14"/>
  <c r="E28" i="14"/>
  <c r="G131" i="14"/>
  <c r="C131" i="14" s="1"/>
  <c r="F131" i="14"/>
  <c r="E131" i="14"/>
  <c r="G132" i="14"/>
  <c r="C132" i="14" s="1"/>
  <c r="F132" i="14"/>
  <c r="E132" i="14"/>
  <c r="G130" i="14"/>
  <c r="C130" i="14" s="1"/>
  <c r="F130" i="14"/>
  <c r="E130" i="14"/>
  <c r="G134" i="14"/>
  <c r="C134" i="14" s="1"/>
  <c r="F134" i="14"/>
  <c r="E134" i="14"/>
  <c r="G135" i="14"/>
  <c r="C135" i="14" s="1"/>
  <c r="F135" i="14"/>
  <c r="E135" i="14"/>
  <c r="E136" i="14"/>
  <c r="F136" i="14"/>
  <c r="G136" i="14"/>
  <c r="C136" i="14" s="1"/>
  <c r="E137" i="14"/>
  <c r="F137" i="14"/>
  <c r="G137" i="14"/>
  <c r="C137" i="14" s="1"/>
  <c r="E138" i="14"/>
  <c r="F138" i="14"/>
  <c r="G138" i="14"/>
  <c r="C138" i="14" s="1"/>
  <c r="E139" i="14"/>
  <c r="F139" i="14"/>
  <c r="G139" i="14"/>
  <c r="C139" i="14" s="1"/>
  <c r="G6" i="14" l="1"/>
  <c r="C6" i="14" s="1"/>
  <c r="E133" i="14"/>
  <c r="F133" i="14"/>
  <c r="G133" i="14"/>
  <c r="C133" i="14" s="1"/>
  <c r="G2" i="14"/>
  <c r="C2" i="14" s="1"/>
  <c r="F2" i="14"/>
  <c r="E2" i="14"/>
  <c r="E13" i="14"/>
  <c r="F13" i="14"/>
  <c r="E12" i="14"/>
  <c r="F12" i="14"/>
  <c r="E14" i="14"/>
  <c r="F14" i="14"/>
  <c r="D218" i="3"/>
  <c r="D230" i="3"/>
  <c r="C8" i="19" s="1"/>
  <c r="F298" i="19" l="1"/>
  <c r="G298" i="19" s="1"/>
  <c r="D298" i="19"/>
  <c r="F297" i="19"/>
  <c r="G297" i="19" s="1"/>
  <c r="D297" i="19"/>
  <c r="F296" i="19"/>
  <c r="G296" i="19" s="1"/>
  <c r="D296" i="19"/>
  <c r="F295" i="19"/>
  <c r="G295" i="19" s="1"/>
  <c r="D295" i="19"/>
  <c r="F294" i="19"/>
  <c r="G294" i="19" s="1"/>
  <c r="D294" i="19"/>
  <c r="F293" i="19"/>
  <c r="G293" i="19" s="1"/>
  <c r="D293" i="19"/>
  <c r="F292" i="19"/>
  <c r="G292" i="19" s="1"/>
  <c r="D292" i="19"/>
  <c r="F291" i="19"/>
  <c r="G291" i="19" s="1"/>
  <c r="D291" i="19"/>
  <c r="F290" i="19"/>
  <c r="G290" i="19" s="1"/>
  <c r="D290" i="19"/>
  <c r="F289" i="19"/>
  <c r="G289" i="19" s="1"/>
  <c r="D289" i="19"/>
  <c r="F288" i="19"/>
  <c r="G288" i="19" s="1"/>
  <c r="D288" i="19"/>
  <c r="F287" i="19"/>
  <c r="G287" i="19" s="1"/>
  <c r="D287" i="19"/>
  <c r="F286" i="19"/>
  <c r="G286" i="19" s="1"/>
  <c r="D286" i="19"/>
  <c r="F285" i="19"/>
  <c r="G285" i="19" s="1"/>
  <c r="D285" i="19"/>
  <c r="F284" i="19"/>
  <c r="G284" i="19" s="1"/>
  <c r="D284" i="19"/>
  <c r="F283" i="19"/>
  <c r="G283" i="19" s="1"/>
  <c r="D283" i="19"/>
  <c r="F282" i="19"/>
  <c r="G282" i="19" s="1"/>
  <c r="D282" i="19"/>
  <c r="F281" i="19"/>
  <c r="G281" i="19" s="1"/>
  <c r="D281" i="19"/>
  <c r="F280" i="19"/>
  <c r="G280" i="19" s="1"/>
  <c r="D280" i="19"/>
  <c r="F279" i="19"/>
  <c r="G279" i="19" s="1"/>
  <c r="D279" i="19"/>
  <c r="F278" i="19"/>
  <c r="G278" i="19" s="1"/>
  <c r="D278" i="19"/>
  <c r="F277" i="19"/>
  <c r="G277" i="19" s="1"/>
  <c r="D277" i="19"/>
  <c r="F276" i="19"/>
  <c r="G276" i="19" s="1"/>
  <c r="D276" i="19"/>
  <c r="F275" i="19"/>
  <c r="G275" i="19" s="1"/>
  <c r="D275" i="19"/>
  <c r="F274" i="19"/>
  <c r="G274" i="19" s="1"/>
  <c r="D274" i="19"/>
  <c r="F273" i="19"/>
  <c r="G273" i="19" s="1"/>
  <c r="D273" i="19"/>
  <c r="F272" i="19"/>
  <c r="G272" i="19" s="1"/>
  <c r="D272" i="19"/>
  <c r="F271" i="19"/>
  <c r="G271" i="19" s="1"/>
  <c r="D271" i="19"/>
  <c r="F270" i="19"/>
  <c r="G270" i="19" s="1"/>
  <c r="D270" i="19"/>
  <c r="F269" i="19"/>
  <c r="G269" i="19" s="1"/>
  <c r="D269" i="19"/>
  <c r="F268" i="19"/>
  <c r="G268" i="19" s="1"/>
  <c r="D268" i="19"/>
  <c r="F267" i="19"/>
  <c r="G267" i="19" s="1"/>
  <c r="D267" i="19"/>
  <c r="F266" i="19"/>
  <c r="G266" i="19" s="1"/>
  <c r="D266" i="19"/>
  <c r="F265" i="19"/>
  <c r="G265" i="19" s="1"/>
  <c r="D265" i="19"/>
  <c r="F264" i="19"/>
  <c r="G264" i="19" s="1"/>
  <c r="D264" i="19"/>
  <c r="F263" i="19"/>
  <c r="G263" i="19" s="1"/>
  <c r="D263" i="19"/>
  <c r="F262" i="19"/>
  <c r="G262" i="19" s="1"/>
  <c r="D262" i="19"/>
  <c r="F261" i="19"/>
  <c r="G261" i="19" s="1"/>
  <c r="D261" i="19"/>
  <c r="F260" i="19"/>
  <c r="G260" i="19" s="1"/>
  <c r="D260" i="19"/>
  <c r="F259" i="19"/>
  <c r="G259" i="19" s="1"/>
  <c r="D259" i="19"/>
  <c r="F258" i="19"/>
  <c r="G258" i="19" s="1"/>
  <c r="D258" i="19"/>
  <c r="F257" i="19"/>
  <c r="G257" i="19" s="1"/>
  <c r="D257" i="19"/>
  <c r="F256" i="19"/>
  <c r="G256" i="19" s="1"/>
  <c r="D256" i="19"/>
  <c r="F255" i="19"/>
  <c r="G255" i="19" s="1"/>
  <c r="D255" i="19"/>
  <c r="F254" i="19"/>
  <c r="G254" i="19" s="1"/>
  <c r="D254" i="19"/>
  <c r="F253" i="19"/>
  <c r="G253" i="19" s="1"/>
  <c r="D253" i="19"/>
  <c r="F252" i="19"/>
  <c r="G252" i="19" s="1"/>
  <c r="D252" i="19"/>
  <c r="F251" i="19"/>
  <c r="G251" i="19" s="1"/>
  <c r="D251" i="19"/>
  <c r="F250" i="19"/>
  <c r="G250" i="19" s="1"/>
  <c r="D250" i="19"/>
  <c r="F249" i="19"/>
  <c r="G249" i="19" s="1"/>
  <c r="D249" i="19"/>
  <c r="F248" i="19"/>
  <c r="G248" i="19" s="1"/>
  <c r="D248" i="19"/>
  <c r="F247" i="19"/>
  <c r="G247" i="19" s="1"/>
  <c r="D247" i="19"/>
  <c r="F246" i="19"/>
  <c r="G246" i="19" s="1"/>
  <c r="D246" i="19"/>
  <c r="F245" i="19"/>
  <c r="G245" i="19" s="1"/>
  <c r="D245" i="19"/>
  <c r="F244" i="19"/>
  <c r="G244" i="19" s="1"/>
  <c r="D244" i="19"/>
  <c r="F243" i="19"/>
  <c r="G243" i="19" s="1"/>
  <c r="D243" i="19"/>
  <c r="F242" i="19"/>
  <c r="G242" i="19" s="1"/>
  <c r="D242" i="19"/>
  <c r="F241" i="19"/>
  <c r="G241" i="19" s="1"/>
  <c r="D241" i="19"/>
  <c r="F240" i="19"/>
  <c r="G240" i="19" s="1"/>
  <c r="D240" i="19"/>
  <c r="F239" i="19"/>
  <c r="G239" i="19" s="1"/>
  <c r="D239" i="19"/>
  <c r="F238" i="19"/>
  <c r="G238" i="19" s="1"/>
  <c r="D238" i="19"/>
  <c r="F237" i="19"/>
  <c r="G237" i="19" s="1"/>
  <c r="D237" i="19"/>
  <c r="F236" i="19"/>
  <c r="G236" i="19" s="1"/>
  <c r="D236" i="19"/>
  <c r="F235" i="19"/>
  <c r="G235" i="19" s="1"/>
  <c r="D235" i="19"/>
  <c r="F234" i="19"/>
  <c r="G234" i="19" s="1"/>
  <c r="D234" i="19"/>
  <c r="F233" i="19"/>
  <c r="G233" i="19" s="1"/>
  <c r="D233" i="19"/>
  <c r="F232" i="19"/>
  <c r="G232" i="19" s="1"/>
  <c r="D232" i="19"/>
  <c r="F231" i="19"/>
  <c r="G231" i="19" s="1"/>
  <c r="D231" i="19"/>
  <c r="F230" i="19"/>
  <c r="G230" i="19" s="1"/>
  <c r="D230" i="19"/>
  <c r="F229" i="19"/>
  <c r="G229" i="19" s="1"/>
  <c r="D229" i="19"/>
  <c r="F228" i="19"/>
  <c r="G228" i="19" s="1"/>
  <c r="D228" i="19"/>
  <c r="F227" i="19"/>
  <c r="G227" i="19" s="1"/>
  <c r="D227" i="19"/>
  <c r="F226" i="19"/>
  <c r="G226" i="19" s="1"/>
  <c r="D226" i="19"/>
  <c r="F225" i="19"/>
  <c r="G225" i="19" s="1"/>
  <c r="D225" i="19"/>
  <c r="F224" i="19"/>
  <c r="G224" i="19" s="1"/>
  <c r="D224" i="19"/>
  <c r="F223" i="19"/>
  <c r="G223" i="19" s="1"/>
  <c r="D223" i="19"/>
  <c r="F222" i="19"/>
  <c r="G222" i="19" s="1"/>
  <c r="D222" i="19"/>
  <c r="F221" i="19"/>
  <c r="G221" i="19" s="1"/>
  <c r="D221" i="19"/>
  <c r="F220" i="19"/>
  <c r="G220" i="19" s="1"/>
  <c r="D220" i="19"/>
  <c r="F219" i="19"/>
  <c r="G219" i="19" s="1"/>
  <c r="D219" i="19"/>
  <c r="F218" i="19"/>
  <c r="G218" i="19" s="1"/>
  <c r="D218" i="19"/>
  <c r="F217" i="19"/>
  <c r="G217" i="19" s="1"/>
  <c r="D217" i="19"/>
  <c r="F216" i="19"/>
  <c r="G216" i="19" s="1"/>
  <c r="D216" i="19"/>
  <c r="F215" i="19"/>
  <c r="G215" i="19" s="1"/>
  <c r="D215" i="19"/>
  <c r="F214" i="19"/>
  <c r="G214" i="19" s="1"/>
  <c r="D214" i="19"/>
  <c r="F213" i="19"/>
  <c r="G213" i="19" s="1"/>
  <c r="D213" i="19"/>
  <c r="F212" i="19"/>
  <c r="G212" i="19" s="1"/>
  <c r="D212" i="19"/>
  <c r="F211" i="19"/>
  <c r="G211" i="19" s="1"/>
  <c r="D211" i="19"/>
  <c r="F210" i="19"/>
  <c r="G210" i="19" s="1"/>
  <c r="D210" i="19"/>
  <c r="F209" i="19"/>
  <c r="G209" i="19" s="1"/>
  <c r="D209" i="19"/>
  <c r="F208" i="19"/>
  <c r="G208" i="19" s="1"/>
  <c r="D208" i="19"/>
  <c r="F207" i="19"/>
  <c r="G207" i="19" s="1"/>
  <c r="D207" i="19"/>
  <c r="F206" i="19"/>
  <c r="G206" i="19" s="1"/>
  <c r="D206" i="19"/>
  <c r="F205" i="19"/>
  <c r="G205" i="19" s="1"/>
  <c r="D205" i="19"/>
  <c r="F204" i="19"/>
  <c r="G204" i="19" s="1"/>
  <c r="D204" i="19"/>
  <c r="F203" i="19"/>
  <c r="G203" i="19" s="1"/>
  <c r="D203" i="19"/>
  <c r="F202" i="19"/>
  <c r="G202" i="19" s="1"/>
  <c r="D202" i="19"/>
  <c r="F201" i="19"/>
  <c r="G201" i="19" s="1"/>
  <c r="D201" i="19"/>
  <c r="F200" i="19"/>
  <c r="G200" i="19" s="1"/>
  <c r="D200" i="19"/>
  <c r="F199" i="19"/>
  <c r="G199" i="19" s="1"/>
  <c r="D199" i="19"/>
  <c r="F198" i="19"/>
  <c r="G198" i="19" s="1"/>
  <c r="D198" i="19"/>
  <c r="F197" i="19"/>
  <c r="G197" i="19" s="1"/>
  <c r="D197" i="19"/>
  <c r="F196" i="19"/>
  <c r="G196" i="19" s="1"/>
  <c r="D196" i="19"/>
  <c r="F195" i="19"/>
  <c r="G195" i="19" s="1"/>
  <c r="D195" i="19"/>
  <c r="F194" i="19"/>
  <c r="G194" i="19" s="1"/>
  <c r="D194" i="19"/>
  <c r="F193" i="19"/>
  <c r="G193" i="19" s="1"/>
  <c r="D193" i="19"/>
  <c r="F192" i="19"/>
  <c r="G192" i="19" s="1"/>
  <c r="D192" i="19"/>
  <c r="F191" i="19"/>
  <c r="G191" i="19" s="1"/>
  <c r="D191" i="19"/>
  <c r="F190" i="19"/>
  <c r="G190" i="19" s="1"/>
  <c r="D190" i="19"/>
  <c r="F189" i="19"/>
  <c r="G189" i="19" s="1"/>
  <c r="D189" i="19"/>
  <c r="F188" i="19"/>
  <c r="G188" i="19" s="1"/>
  <c r="D188" i="19"/>
  <c r="F187" i="19"/>
  <c r="G187" i="19" s="1"/>
  <c r="D187" i="19"/>
  <c r="F186" i="19"/>
  <c r="G186" i="19" s="1"/>
  <c r="D186" i="19"/>
  <c r="F185" i="19"/>
  <c r="G185" i="19" s="1"/>
  <c r="D185" i="19"/>
  <c r="F184" i="19"/>
  <c r="G184" i="19" s="1"/>
  <c r="D184" i="19"/>
  <c r="F183" i="19"/>
  <c r="G183" i="19" s="1"/>
  <c r="D183" i="19"/>
  <c r="F181" i="19"/>
  <c r="G181" i="19" s="1"/>
  <c r="D181" i="19"/>
  <c r="F180" i="19"/>
  <c r="G180" i="19" s="1"/>
  <c r="D180" i="19"/>
  <c r="F179" i="19"/>
  <c r="G179" i="19" s="1"/>
  <c r="D179" i="19"/>
  <c r="F178" i="19"/>
  <c r="G178" i="19" s="1"/>
  <c r="D178" i="19"/>
  <c r="F177" i="19"/>
  <c r="G177" i="19" s="1"/>
  <c r="D177" i="19"/>
  <c r="F176" i="19"/>
  <c r="G176" i="19" s="1"/>
  <c r="D176" i="19"/>
  <c r="F175" i="19"/>
  <c r="G175" i="19" s="1"/>
  <c r="D175" i="19"/>
  <c r="F174" i="19"/>
  <c r="G174" i="19" s="1"/>
  <c r="D174" i="19"/>
  <c r="F173" i="19"/>
  <c r="G173" i="19" s="1"/>
  <c r="D173" i="19"/>
  <c r="F172" i="19"/>
  <c r="G172" i="19" s="1"/>
  <c r="D172" i="19"/>
  <c r="F171" i="19"/>
  <c r="G171" i="19" s="1"/>
  <c r="D171" i="19"/>
  <c r="F170" i="19"/>
  <c r="G170" i="19" s="1"/>
  <c r="D170" i="19"/>
  <c r="F169" i="19"/>
  <c r="G169" i="19" s="1"/>
  <c r="D169" i="19"/>
  <c r="F168" i="19"/>
  <c r="G168" i="19" s="1"/>
  <c r="D168" i="19"/>
  <c r="F167" i="19"/>
  <c r="G167" i="19" s="1"/>
  <c r="D167" i="19"/>
  <c r="F166" i="19"/>
  <c r="G166" i="19" s="1"/>
  <c r="D166" i="19"/>
  <c r="F165" i="19"/>
  <c r="G165" i="19" s="1"/>
  <c r="D165" i="19"/>
  <c r="F164" i="19"/>
  <c r="G164" i="19" s="1"/>
  <c r="D164" i="19"/>
  <c r="F163" i="19"/>
  <c r="G163" i="19" s="1"/>
  <c r="D163" i="19"/>
  <c r="F162" i="19"/>
  <c r="G162" i="19" s="1"/>
  <c r="D162" i="19"/>
  <c r="F161" i="19"/>
  <c r="G161" i="19" s="1"/>
  <c r="D161" i="19"/>
  <c r="F160" i="19"/>
  <c r="G160" i="19" s="1"/>
  <c r="D160" i="19"/>
  <c r="F159" i="19"/>
  <c r="G159" i="19" s="1"/>
  <c r="D159" i="19"/>
  <c r="F158" i="19"/>
  <c r="G158" i="19" s="1"/>
  <c r="D158" i="19"/>
  <c r="F157" i="19"/>
  <c r="G157" i="19" s="1"/>
  <c r="D157" i="19"/>
  <c r="F156" i="19"/>
  <c r="G156" i="19" s="1"/>
  <c r="D156" i="19"/>
  <c r="F155" i="19"/>
  <c r="G155" i="19" s="1"/>
  <c r="D155" i="19"/>
  <c r="F154" i="19"/>
  <c r="G154" i="19" s="1"/>
  <c r="D154" i="19"/>
  <c r="F153" i="19"/>
  <c r="G153" i="19" s="1"/>
  <c r="D153" i="19"/>
  <c r="F152" i="19"/>
  <c r="G152" i="19" s="1"/>
  <c r="D152" i="19"/>
  <c r="F151" i="19"/>
  <c r="G151" i="19" s="1"/>
  <c r="D151" i="19"/>
  <c r="F150" i="19"/>
  <c r="G150" i="19" s="1"/>
  <c r="D150" i="19"/>
  <c r="F149" i="19"/>
  <c r="G149" i="19" s="1"/>
  <c r="D149" i="19"/>
  <c r="F148" i="19"/>
  <c r="G148" i="19" s="1"/>
  <c r="D148" i="19"/>
  <c r="F147" i="19"/>
  <c r="G147" i="19" s="1"/>
  <c r="D147" i="19"/>
  <c r="F146" i="19"/>
  <c r="G146" i="19" s="1"/>
  <c r="D146" i="19"/>
  <c r="F145" i="19"/>
  <c r="G145" i="19" s="1"/>
  <c r="D145" i="19"/>
  <c r="F144" i="19"/>
  <c r="G144" i="19" s="1"/>
  <c r="D144" i="19"/>
  <c r="F143" i="19"/>
  <c r="G143" i="19" s="1"/>
  <c r="D143" i="19"/>
  <c r="F142" i="19"/>
  <c r="G142" i="19" s="1"/>
  <c r="D142" i="19"/>
  <c r="F141" i="19"/>
  <c r="G141" i="19" s="1"/>
  <c r="D141" i="19"/>
  <c r="F140" i="19"/>
  <c r="G140" i="19" s="1"/>
  <c r="D140" i="19"/>
  <c r="F139" i="19"/>
  <c r="G139" i="19" s="1"/>
  <c r="D139" i="19"/>
  <c r="F138" i="19"/>
  <c r="G138" i="19" s="1"/>
  <c r="D138" i="19"/>
  <c r="F137" i="19"/>
  <c r="G137" i="19" s="1"/>
  <c r="D137" i="19"/>
  <c r="F136" i="19"/>
  <c r="G136" i="19" s="1"/>
  <c r="D136" i="19"/>
  <c r="F135" i="19"/>
  <c r="G135" i="19" s="1"/>
  <c r="D135" i="19"/>
  <c r="F134" i="19"/>
  <c r="G134" i="19" s="1"/>
  <c r="D134" i="19"/>
  <c r="F133" i="19"/>
  <c r="G133" i="19" s="1"/>
  <c r="D133" i="19"/>
  <c r="F132" i="19"/>
  <c r="G132" i="19" s="1"/>
  <c r="D132" i="19"/>
  <c r="F131" i="19"/>
  <c r="G131" i="19" s="1"/>
  <c r="D131" i="19"/>
  <c r="F130" i="19"/>
  <c r="G130" i="19" s="1"/>
  <c r="D130" i="19"/>
  <c r="F129" i="19"/>
  <c r="G129" i="19" s="1"/>
  <c r="D129" i="19"/>
  <c r="F128" i="19"/>
  <c r="G128" i="19" s="1"/>
  <c r="D128" i="19"/>
  <c r="F127" i="19"/>
  <c r="G127" i="19" s="1"/>
  <c r="D127" i="19"/>
  <c r="F126" i="19"/>
  <c r="G126" i="19" s="1"/>
  <c r="D126" i="19"/>
  <c r="F125" i="19"/>
  <c r="G125" i="19" s="1"/>
  <c r="D125" i="19"/>
  <c r="F124" i="19"/>
  <c r="G124" i="19" s="1"/>
  <c r="D124" i="19"/>
  <c r="F123" i="19"/>
  <c r="G123" i="19" s="1"/>
  <c r="D123" i="19"/>
  <c r="F122" i="19"/>
  <c r="G122" i="19" s="1"/>
  <c r="D122" i="19"/>
  <c r="F121" i="19"/>
  <c r="G121" i="19" s="1"/>
  <c r="D121" i="19"/>
  <c r="F120" i="19"/>
  <c r="G120" i="19" s="1"/>
  <c r="D120" i="19"/>
  <c r="F119" i="19"/>
  <c r="G119" i="19" s="1"/>
  <c r="D119" i="19"/>
  <c r="F118" i="19"/>
  <c r="G118" i="19" s="1"/>
  <c r="D118" i="19"/>
  <c r="F117" i="19"/>
  <c r="G117" i="19" s="1"/>
  <c r="D117" i="19"/>
  <c r="F116" i="19"/>
  <c r="G116" i="19" s="1"/>
  <c r="D116" i="19"/>
  <c r="D115" i="19"/>
  <c r="F114" i="19"/>
  <c r="G114" i="19" s="1"/>
  <c r="D114" i="19"/>
  <c r="F113" i="19"/>
  <c r="G113" i="19" s="1"/>
  <c r="D113" i="19"/>
  <c r="F112" i="19"/>
  <c r="G112" i="19" s="1"/>
  <c r="D112" i="19"/>
  <c r="F111" i="19"/>
  <c r="G111" i="19" s="1"/>
  <c r="D111" i="19"/>
  <c r="F110" i="19"/>
  <c r="G110" i="19" s="1"/>
  <c r="D110" i="19"/>
  <c r="F109" i="19"/>
  <c r="G109" i="19" s="1"/>
  <c r="D109" i="19"/>
  <c r="F108" i="19"/>
  <c r="G108" i="19" s="1"/>
  <c r="D108" i="19"/>
  <c r="F107" i="19"/>
  <c r="G107" i="19" s="1"/>
  <c r="D107" i="19"/>
  <c r="F106" i="19"/>
  <c r="G106" i="19" s="1"/>
  <c r="D106" i="19"/>
  <c r="F105" i="19"/>
  <c r="G105" i="19" s="1"/>
  <c r="D105" i="19"/>
  <c r="F104" i="19"/>
  <c r="G104" i="19" s="1"/>
  <c r="D104" i="19"/>
  <c r="F103" i="19"/>
  <c r="G103" i="19" s="1"/>
  <c r="D103" i="19"/>
  <c r="F102" i="19"/>
  <c r="G102" i="19" s="1"/>
  <c r="D102" i="19"/>
  <c r="F101" i="19"/>
  <c r="G101" i="19" s="1"/>
  <c r="D101" i="19"/>
  <c r="F100" i="19"/>
  <c r="G100" i="19" s="1"/>
  <c r="D100" i="19"/>
  <c r="F99" i="19"/>
  <c r="G99" i="19" s="1"/>
  <c r="D99" i="19"/>
  <c r="F98" i="19"/>
  <c r="G98" i="19" s="1"/>
  <c r="D98" i="19"/>
  <c r="F97" i="19"/>
  <c r="G97" i="19" s="1"/>
  <c r="D97" i="19"/>
  <c r="F96" i="19"/>
  <c r="G96" i="19" s="1"/>
  <c r="D96" i="19"/>
  <c r="F95" i="19"/>
  <c r="G95" i="19" s="1"/>
  <c r="D95" i="19"/>
  <c r="F94" i="19"/>
  <c r="G94" i="19" s="1"/>
  <c r="D94" i="19"/>
  <c r="F93" i="19"/>
  <c r="G93" i="19" s="1"/>
  <c r="D93" i="19"/>
  <c r="F92" i="19"/>
  <c r="G92" i="19" s="1"/>
  <c r="D92" i="19"/>
  <c r="F91" i="19"/>
  <c r="G91" i="19" s="1"/>
  <c r="D91" i="19"/>
  <c r="F90" i="19"/>
  <c r="G90" i="19" s="1"/>
  <c r="D90" i="19"/>
  <c r="F89" i="19"/>
  <c r="G89" i="19" s="1"/>
  <c r="D89" i="19"/>
  <c r="F88" i="19"/>
  <c r="G88" i="19" s="1"/>
  <c r="D88" i="19"/>
  <c r="F87" i="19"/>
  <c r="G87" i="19" s="1"/>
  <c r="D87" i="19"/>
  <c r="F86" i="19"/>
  <c r="G86" i="19" s="1"/>
  <c r="D86" i="19"/>
  <c r="F85" i="19"/>
  <c r="G85" i="19" s="1"/>
  <c r="D85" i="19"/>
  <c r="F84" i="19"/>
  <c r="G84" i="19" s="1"/>
  <c r="D84" i="19"/>
  <c r="F83" i="19"/>
  <c r="G83" i="19" s="1"/>
  <c r="D83" i="19"/>
  <c r="F82" i="19"/>
  <c r="G82" i="19" s="1"/>
  <c r="D82" i="19"/>
  <c r="F81" i="19"/>
  <c r="G81" i="19" s="1"/>
  <c r="D81" i="19"/>
  <c r="F80" i="19"/>
  <c r="G80" i="19" s="1"/>
  <c r="D80" i="19"/>
  <c r="F79" i="19"/>
  <c r="G79" i="19" s="1"/>
  <c r="D79" i="19"/>
  <c r="F78" i="19"/>
  <c r="G78" i="19" s="1"/>
  <c r="D78" i="19"/>
  <c r="D77" i="19"/>
  <c r="F76" i="19"/>
  <c r="G76" i="19" s="1"/>
  <c r="D76" i="19"/>
  <c r="F75" i="19"/>
  <c r="G75" i="19" s="1"/>
  <c r="D75" i="19"/>
  <c r="D74" i="19"/>
  <c r="F73" i="19"/>
  <c r="G73" i="19" s="1"/>
  <c r="D73" i="19"/>
  <c r="F72" i="19"/>
  <c r="G72" i="19" s="1"/>
  <c r="D72" i="19"/>
  <c r="F71" i="19"/>
  <c r="G71" i="19" s="1"/>
  <c r="D71" i="19"/>
  <c r="F70" i="19"/>
  <c r="G70" i="19" s="1"/>
  <c r="D70" i="19"/>
  <c r="F69" i="19"/>
  <c r="G69" i="19" s="1"/>
  <c r="D69" i="19"/>
  <c r="F68" i="19"/>
  <c r="G68" i="19" s="1"/>
  <c r="D68" i="19"/>
  <c r="F67" i="19"/>
  <c r="G67" i="19" s="1"/>
  <c r="D67" i="19"/>
  <c r="D66" i="19"/>
  <c r="D65" i="19"/>
  <c r="F64" i="19"/>
  <c r="G64" i="19" s="1"/>
  <c r="D64" i="19"/>
  <c r="D63" i="19"/>
  <c r="F62" i="19"/>
  <c r="G62" i="19" s="1"/>
  <c r="D62" i="19"/>
  <c r="F61" i="19"/>
  <c r="G61" i="19" s="1"/>
  <c r="D61" i="19"/>
  <c r="D60" i="19"/>
  <c r="F59" i="19"/>
  <c r="G59" i="19" s="1"/>
  <c r="D59" i="19"/>
  <c r="D58" i="19"/>
  <c r="F57" i="19"/>
  <c r="G57" i="19" s="1"/>
  <c r="D57" i="19"/>
  <c r="F56" i="19"/>
  <c r="G56" i="19" s="1"/>
  <c r="D56" i="19"/>
  <c r="F55" i="19"/>
  <c r="G55" i="19" s="1"/>
  <c r="D55" i="19"/>
  <c r="F54" i="19"/>
  <c r="G54" i="19" s="1"/>
  <c r="D54" i="19"/>
  <c r="D53" i="19"/>
  <c r="F52" i="19"/>
  <c r="G52" i="19" s="1"/>
  <c r="D52" i="19"/>
  <c r="F51" i="19"/>
  <c r="G51" i="19" s="1"/>
  <c r="D51" i="19"/>
  <c r="F50" i="19"/>
  <c r="G50" i="19" s="1"/>
  <c r="D50" i="19"/>
  <c r="F49" i="19"/>
  <c r="G49" i="19" s="1"/>
  <c r="D49" i="19"/>
  <c r="F48" i="19"/>
  <c r="G48" i="19" s="1"/>
  <c r="D48" i="19"/>
  <c r="F47" i="19"/>
  <c r="G47" i="19" s="1"/>
  <c r="D47" i="19"/>
  <c r="F46" i="19"/>
  <c r="G46" i="19" s="1"/>
  <c r="D46" i="19"/>
  <c r="F45" i="19"/>
  <c r="G45" i="19" s="1"/>
  <c r="D45" i="19"/>
  <c r="F44" i="19"/>
  <c r="G44" i="19" s="1"/>
  <c r="D44" i="19"/>
  <c r="F43" i="19"/>
  <c r="G43" i="19" s="1"/>
  <c r="D43" i="19"/>
  <c r="F42" i="19"/>
  <c r="G42" i="19" s="1"/>
  <c r="D42" i="19"/>
  <c r="F41" i="19"/>
  <c r="G41" i="19" s="1"/>
  <c r="D41" i="19"/>
  <c r="F40" i="19"/>
  <c r="G40" i="19" s="1"/>
  <c r="D40" i="19"/>
  <c r="F39" i="19"/>
  <c r="G39" i="19" s="1"/>
  <c r="D39" i="19"/>
  <c r="F38" i="19"/>
  <c r="G38" i="19" s="1"/>
  <c r="D38" i="19"/>
  <c r="F37" i="19"/>
  <c r="G37" i="19" s="1"/>
  <c r="D37" i="19"/>
  <c r="D36" i="19"/>
  <c r="F35" i="19"/>
  <c r="G35" i="19" s="1"/>
  <c r="D35" i="19"/>
  <c r="D34" i="19"/>
  <c r="F33" i="19"/>
  <c r="G33" i="19" s="1"/>
  <c r="D33" i="19"/>
  <c r="F32" i="19"/>
  <c r="G32" i="19" s="1"/>
  <c r="D32" i="19"/>
  <c r="D31" i="19"/>
  <c r="F30" i="19"/>
  <c r="G30" i="19" s="1"/>
  <c r="D30" i="19"/>
  <c r="F29" i="19"/>
  <c r="G29" i="19" s="1"/>
  <c r="D29" i="19"/>
  <c r="F28" i="19"/>
  <c r="G28" i="19" s="1"/>
  <c r="D28" i="19"/>
  <c r="F27" i="19"/>
  <c r="G27" i="19" s="1"/>
  <c r="D27" i="19"/>
  <c r="F26" i="19"/>
  <c r="G26" i="19" s="1"/>
  <c r="D26" i="19"/>
  <c r="D25" i="19"/>
  <c r="D24" i="19"/>
  <c r="D23" i="19"/>
  <c r="F22" i="19"/>
  <c r="G22" i="19" s="1"/>
  <c r="D22" i="19"/>
  <c r="D21" i="19"/>
  <c r="D20" i="19"/>
  <c r="D19" i="19"/>
  <c r="D18" i="19"/>
  <c r="F17" i="19"/>
  <c r="G17" i="19" s="1"/>
  <c r="D17" i="19"/>
  <c r="F16" i="19"/>
  <c r="G16" i="19" s="1"/>
  <c r="D16" i="19"/>
  <c r="D15" i="19"/>
  <c r="G14" i="19"/>
  <c r="D14" i="19"/>
  <c r="D452" i="3" l="1"/>
  <c r="D25" i="3"/>
  <c r="D78" i="3"/>
  <c r="D151" i="3"/>
  <c r="D333" i="3"/>
  <c r="D207" i="3"/>
  <c r="D336" i="3"/>
  <c r="D499" i="3"/>
  <c r="D228" i="3"/>
  <c r="D210" i="3"/>
  <c r="D280" i="3"/>
  <c r="D305" i="3"/>
  <c r="D213" i="3"/>
  <c r="D221" i="3"/>
  <c r="E4" i="14"/>
  <c r="F4" i="14"/>
  <c r="G4" i="14"/>
  <c r="C4" i="14" s="1"/>
  <c r="E8" i="14"/>
  <c r="F8" i="14"/>
  <c r="G8" i="14"/>
  <c r="C8" i="14" s="1"/>
  <c r="E9" i="14"/>
  <c r="F9" i="14"/>
  <c r="G9" i="14"/>
  <c r="C9" i="14" s="1"/>
  <c r="E10" i="14"/>
  <c r="F10" i="14"/>
  <c r="G10" i="14"/>
  <c r="C10" i="14" s="1"/>
  <c r="E5" i="14"/>
  <c r="F5" i="14"/>
  <c r="G5" i="14"/>
  <c r="C5" i="14" s="1"/>
  <c r="E11" i="14"/>
  <c r="F11" i="14"/>
  <c r="G11" i="14"/>
  <c r="C11" i="14" s="1"/>
  <c r="E15" i="14"/>
  <c r="F15" i="14"/>
  <c r="G15" i="14"/>
  <c r="C15" i="14" s="1"/>
  <c r="E16" i="14"/>
  <c r="F16" i="14"/>
  <c r="G16" i="14"/>
  <c r="C16" i="14" s="1"/>
  <c r="E17" i="14"/>
  <c r="F17" i="14"/>
  <c r="G17" i="14"/>
  <c r="C17" i="14" s="1"/>
  <c r="E18" i="14"/>
  <c r="F18" i="14"/>
  <c r="G18" i="14"/>
  <c r="C18" i="14" s="1"/>
  <c r="E19" i="14"/>
  <c r="F19" i="14"/>
  <c r="G19" i="14"/>
  <c r="C19" i="14" s="1"/>
  <c r="E20" i="14"/>
  <c r="F20" i="14"/>
  <c r="G20" i="14"/>
  <c r="C20" i="14" s="1"/>
  <c r="E21" i="14"/>
  <c r="F21" i="14"/>
  <c r="G21" i="14"/>
  <c r="C21" i="14" s="1"/>
  <c r="E22" i="14"/>
  <c r="F22" i="14"/>
  <c r="G22" i="14"/>
  <c r="C22" i="14" s="1"/>
  <c r="E24" i="14"/>
  <c r="F24" i="14"/>
  <c r="G24" i="14"/>
  <c r="C24" i="14" s="1"/>
  <c r="E25" i="14"/>
  <c r="F25" i="14"/>
  <c r="G25" i="14"/>
  <c r="C25" i="14" s="1"/>
  <c r="E23" i="14"/>
  <c r="F23" i="14"/>
  <c r="G23" i="14"/>
  <c r="C23" i="14" s="1"/>
  <c r="E7" i="14"/>
  <c r="F7" i="14"/>
  <c r="D57" i="3"/>
  <c r="F34" i="19" s="1"/>
  <c r="G34" i="19" s="1"/>
  <c r="D124" i="3"/>
  <c r="B7" i="20"/>
  <c r="F115" i="19"/>
  <c r="G115" i="19" s="1"/>
  <c r="D142" i="3"/>
  <c r="D303" i="3"/>
  <c r="D353" i="3"/>
  <c r="D338" i="3"/>
  <c r="D199" i="3"/>
  <c r="D330" i="3"/>
  <c r="D334" i="3"/>
  <c r="D329" i="3"/>
  <c r="D335" i="3"/>
  <c r="D299" i="3"/>
  <c r="I55" i="22"/>
  <c r="L14" i="22"/>
  <c r="L10" i="22"/>
  <c r="L6" i="22"/>
  <c r="F55" i="22"/>
  <c r="C55" i="22"/>
  <c r="G7" i="14" l="1"/>
  <c r="C7" i="14" s="1"/>
  <c r="F15" i="19"/>
  <c r="G15" i="19" s="1"/>
  <c r="L16" i="22"/>
  <c r="D208" i="3" l="1"/>
  <c r="D58" i="3"/>
  <c r="D324" i="3"/>
  <c r="D284" i="3"/>
  <c r="D341" i="3"/>
  <c r="D316" i="3"/>
  <c r="D312" i="3"/>
  <c r="O5" i="22" l="1"/>
  <c r="O4" i="22"/>
  <c r="O6" i="22" l="1"/>
  <c r="D311" i="3"/>
  <c r="D234" i="3"/>
  <c r="D71" i="3"/>
  <c r="D88" i="3" l="1"/>
  <c r="D85" i="3"/>
  <c r="D95" i="3"/>
  <c r="D84" i="3"/>
  <c r="D93" i="3"/>
  <c r="D195" i="3" l="1"/>
  <c r="F74" i="19" s="1"/>
  <c r="G74" i="19" s="1"/>
  <c r="F7" i="5"/>
  <c r="D308" i="3"/>
  <c r="D325" i="3"/>
  <c r="D86" i="3"/>
  <c r="D54" i="3"/>
  <c r="F77" i="19" s="1"/>
  <c r="G77" i="19" s="1"/>
  <c r="D77" i="3"/>
  <c r="D358" i="3"/>
  <c r="F66" i="19" l="1"/>
  <c r="G66" i="19" s="1"/>
  <c r="F18" i="19"/>
  <c r="G18" i="19" s="1"/>
  <c r="F63" i="19"/>
  <c r="G63" i="19" s="1"/>
  <c r="F25" i="19"/>
  <c r="G25" i="19" s="1"/>
  <c r="G14" i="14"/>
  <c r="C14" i="14" s="1"/>
  <c r="F21" i="19"/>
  <c r="G21" i="19" s="1"/>
  <c r="G12" i="14"/>
  <c r="C12" i="14" s="1"/>
  <c r="F20" i="19"/>
  <c r="G20" i="19" s="1"/>
  <c r="D354" i="3"/>
  <c r="D328" i="3"/>
  <c r="D327" i="3"/>
  <c r="D340" i="3"/>
  <c r="F4" i="20" l="1"/>
  <c r="F5" i="20" s="1"/>
  <c r="F6" i="20" l="1"/>
  <c r="F182" i="19"/>
  <c r="G182" i="19" s="1"/>
  <c r="D182" i="19"/>
  <c r="J8" i="15" l="1"/>
  <c r="J7" i="15"/>
  <c r="F7" i="15"/>
  <c r="D447" i="3" l="1"/>
  <c r="D419" i="3"/>
  <c r="D351" i="3"/>
  <c r="D350" i="3"/>
  <c r="D339" i="3"/>
  <c r="D243" i="3"/>
  <c r="D242" i="3"/>
  <c r="D238" i="3"/>
  <c r="D67" i="3"/>
  <c r="F23" i="19" s="1"/>
  <c r="G23" i="19" s="1"/>
  <c r="D200" i="3"/>
  <c r="D197" i="3"/>
  <c r="D194" i="3"/>
  <c r="D192" i="3"/>
  <c r="D190" i="3"/>
  <c r="D188" i="3"/>
  <c r="D186" i="3"/>
  <c r="D177" i="3"/>
  <c r="D172" i="3"/>
  <c r="D171" i="3"/>
  <c r="D127" i="3"/>
  <c r="F36" i="19" s="1"/>
  <c r="G36" i="19" s="1"/>
  <c r="D63" i="3"/>
  <c r="D52" i="3"/>
  <c r="F58" i="19" l="1"/>
  <c r="G58" i="19" s="1"/>
  <c r="F60" i="19"/>
  <c r="G60" i="19" s="1"/>
  <c r="F24" i="19"/>
  <c r="G24" i="19" s="1"/>
  <c r="F65" i="19"/>
  <c r="G65" i="19" s="1"/>
  <c r="G50" i="14"/>
  <c r="C50" i="14" s="1"/>
  <c r="F31" i="19"/>
  <c r="G31" i="19" s="1"/>
  <c r="G70" i="14"/>
  <c r="C70" i="14" s="1"/>
  <c r="F53" i="19"/>
  <c r="G53" i="19" s="1"/>
  <c r="G13" i="14"/>
  <c r="C13" i="14" s="1"/>
  <c r="F19" i="19"/>
  <c r="G19" i="19" s="1"/>
  <c r="G4" i="19" l="1"/>
  <c r="C7" i="15" s="1"/>
  <c r="C8" i="15" s="1"/>
  <c r="K7" i="15" l="1"/>
  <c r="C9" i="15"/>
  <c r="D3" i="18" s="1"/>
  <c r="G7" i="15" l="1"/>
  <c r="G6" i="19" s="1"/>
  <c r="C10" i="15"/>
  <c r="D4" i="18" l="1"/>
  <c r="G7" i="19"/>
  <c r="G8" i="19" s="1"/>
  <c r="C11" i="15"/>
  <c r="D5" i="18" s="1"/>
  <c r="G9" i="15"/>
  <c r="H9" i="15" s="1"/>
  <c r="G8" i="15"/>
  <c r="H8" i="15" s="1"/>
  <c r="G10" i="15" l="1"/>
  <c r="K8" i="15" s="1"/>
  <c r="K9" i="15" s="1"/>
</calcChain>
</file>

<file path=xl/sharedStrings.xml><?xml version="1.0" encoding="utf-8"?>
<sst xmlns="http://schemas.openxmlformats.org/spreadsheetml/2006/main" count="4797" uniqueCount="875">
  <si>
    <t>Item</t>
  </si>
  <si>
    <t>Categorias</t>
  </si>
  <si>
    <t>Unidad</t>
  </si>
  <si>
    <t>P. Unitario real</t>
  </si>
  <si>
    <t>Nombre de ppto donde se saco la info</t>
  </si>
  <si>
    <t>Hoja Impresión Clte.</t>
  </si>
  <si>
    <t>Hoja Impresión Compras.</t>
  </si>
  <si>
    <t>Empresa</t>
  </si>
  <si>
    <t>Calefont  7 litros</t>
  </si>
  <si>
    <t>Adicionales</t>
  </si>
  <si>
    <t>nueva cliente javier 01122025</t>
  </si>
  <si>
    <t>Si</t>
  </si>
  <si>
    <t>Calefont Tiro Natural 11 litros</t>
  </si>
  <si>
    <t>nueva solo por un cliente</t>
  </si>
  <si>
    <t>Closet 250 x 230</t>
  </si>
  <si>
    <t>Nueva javier 20112025</t>
  </si>
  <si>
    <t>Rogelio</t>
  </si>
  <si>
    <t>Closet 300 X 230</t>
  </si>
  <si>
    <t>Closet 320 x 230 6 cajoneras Blanco</t>
  </si>
  <si>
    <t>Closet 320 x 230 6 cajoneras color a eleccion</t>
  </si>
  <si>
    <t>Closet 320 x 230 6 cajoneras puertas de color</t>
  </si>
  <si>
    <t>Closet de 2.70 x 2,40</t>
  </si>
  <si>
    <t>Javier24082025</t>
  </si>
  <si>
    <t>Closet de Cuatro cuerpos + cajoneras - Piso a techo 2,20x2,30</t>
  </si>
  <si>
    <t>Nueva categoria 17062025</t>
  </si>
  <si>
    <t>Closet de Tres cuerpos - Piso a techo</t>
  </si>
  <si>
    <t>Nueva categoria 23032025</t>
  </si>
  <si>
    <t>Closet Desde 130 A 160 X 230</t>
  </si>
  <si>
    <t>No</t>
  </si>
  <si>
    <t>Conexión de Lavadora</t>
  </si>
  <si>
    <t>Enchufe Adicional</t>
  </si>
  <si>
    <t>Categorias adicionales 25112025</t>
  </si>
  <si>
    <t>Escalera Interior</t>
  </si>
  <si>
    <t>nueva javier envia valores 230602025</t>
  </si>
  <si>
    <t>Gabinete para Calefont 11 litros</t>
  </si>
  <si>
    <t>Iluminacion Adicional interior o exterior</t>
  </si>
  <si>
    <t>Categorias adicionales 18032025</t>
  </si>
  <si>
    <t>Informe T1 20 Pies</t>
  </si>
  <si>
    <t>Informe T1 40 Pies</t>
  </si>
  <si>
    <t>Mano de Obra Calefont</t>
  </si>
  <si>
    <t>nueva javier envia valores 240402025</t>
  </si>
  <si>
    <t>Mano de Obra Gas</t>
  </si>
  <si>
    <t>Mano de Obra Instalacion Revestimiento Exterior fallada y parte trasera</t>
  </si>
  <si>
    <t>m2</t>
  </si>
  <si>
    <t>Mano de Obra Pintura</t>
  </si>
  <si>
    <t>Mano de Obra Tabiqueria y  recubrimiento Laterales sin Puerta</t>
  </si>
  <si>
    <t>Piso Diamantado aluminio 1,5mm 100x300</t>
  </si>
  <si>
    <t>Nueva javier 10122025</t>
  </si>
  <si>
    <t>Punto de Agua</t>
  </si>
  <si>
    <t>Categorias adicionales 13052025</t>
  </si>
  <si>
    <t>Separador de ambiente</t>
  </si>
  <si>
    <t>nueva valor entregado javier 24092025</t>
  </si>
  <si>
    <t>Visita Técnica en RM</t>
  </si>
  <si>
    <t>Nueva categoria 25062025</t>
  </si>
  <si>
    <t xml:space="preserve">Walking  Closet 170X 230 - 140X230 Melamina Blanca </t>
  </si>
  <si>
    <t>Walking  Closet 170X 230 - 140X230 Melamina Colores a eleccion</t>
  </si>
  <si>
    <t>Walking Closet 200 largo x 2,40 alto x 0,50 de profundidad</t>
  </si>
  <si>
    <t>nuevo andrea 19012026</t>
  </si>
  <si>
    <t>Aislante Termico Fisiterm  55mm x 2,4 15 mts</t>
  </si>
  <si>
    <t>Aislación</t>
  </si>
  <si>
    <t>M2</t>
  </si>
  <si>
    <t>Nuevo</t>
  </si>
  <si>
    <t>Poliuretano Proyectado</t>
  </si>
  <si>
    <t>actualizacion alan 17032025</t>
  </si>
  <si>
    <t>Poliuretano Proyectado 120 m2</t>
  </si>
  <si>
    <t>Pack</t>
  </si>
  <si>
    <t>nueva 02022026</t>
  </si>
  <si>
    <t>Poliuretano Proyectado 30 m2</t>
  </si>
  <si>
    <t>Poliuretano Proyectado 45 m2</t>
  </si>
  <si>
    <t>Poliuretano Proyectado 60 m2</t>
  </si>
  <si>
    <t>Poliuretano Proyectado 90 m2</t>
  </si>
  <si>
    <t>Poliuretano Proyectado Base</t>
  </si>
  <si>
    <t>Poliuretano Proyectado Base 120 m2</t>
  </si>
  <si>
    <t>Poliuretano Proyectado Base 30 m2</t>
  </si>
  <si>
    <t>Poliuretano Proyectado Base 45 m2</t>
  </si>
  <si>
    <t>Poliuretano Proyectado Base 60 m2</t>
  </si>
  <si>
    <t>Poliuretano Proyectado Base 90 m2</t>
  </si>
  <si>
    <t>Angulo Aluminio 10x10</t>
  </si>
  <si>
    <t>Baño</t>
  </si>
  <si>
    <t>nueva 290120205</t>
  </si>
  <si>
    <t>Barra Pasamano Muro 50cm</t>
  </si>
  <si>
    <t>nueva alan 28012026</t>
  </si>
  <si>
    <t>Columna de Ducha Baño mono mando</t>
  </si>
  <si>
    <t>valor entragado alan 08042025</t>
  </si>
  <si>
    <t>Ducha Telefono</t>
  </si>
  <si>
    <t>nueva</t>
  </si>
  <si>
    <t>Espejo Cuadrado Retroiluminado 50X70</t>
  </si>
  <si>
    <t>valor actualizado 28012026</t>
  </si>
  <si>
    <t>Espejo Redondo Retroiluminado 60 Diametro</t>
  </si>
  <si>
    <t>Esquinero Marmolizado</t>
  </si>
  <si>
    <t>Nueva categoria 18032025</t>
  </si>
  <si>
    <t>Extractor 16x16 cm 20wts</t>
  </si>
  <si>
    <t>Nueva 17062025</t>
  </si>
  <si>
    <t>Extractor Aire baño 4"</t>
  </si>
  <si>
    <t>Lavamanos al aire</t>
  </si>
  <si>
    <t>Lavamanos pedestal</t>
  </si>
  <si>
    <t>nueva 14112025</t>
  </si>
  <si>
    <t>Mampara ajustable 6mm 135 -150x185cm</t>
  </si>
  <si>
    <t>Nueva javier 29102025</t>
  </si>
  <si>
    <t>Mampara eko corredera 120x90 cm</t>
  </si>
  <si>
    <t>Nueva 02102025</t>
  </si>
  <si>
    <t>Mueble Vanitorio 71 cm Fiumo Vessanti</t>
  </si>
  <si>
    <t>valor actualizado 2020205</t>
  </si>
  <si>
    <t>Mueble Vanitorio Aereo 38,4 cm BN Almendra</t>
  </si>
  <si>
    <t>nuevas categorias entregadas por Javier 12022025</t>
  </si>
  <si>
    <t>Mueble Vanitorio dos puertas 100cm Khari duna Tuhome</t>
  </si>
  <si>
    <t>Mueble Vanitorio Lille 61X45,6 cm Lenga mas cubierta</t>
  </si>
  <si>
    <t xml:space="preserve">Mueble Vanitorio Sophie 121x 46,5 cm lenga + Cubierta </t>
  </si>
  <si>
    <t>Nueva categoria 21072025</t>
  </si>
  <si>
    <t>Muros Interiores Pvc Marmolizado</t>
  </si>
  <si>
    <t>Perfil T para Marmolizado</t>
  </si>
  <si>
    <t>Porcelanato Blanco Brillante 60x60cm</t>
  </si>
  <si>
    <t>Nueva categoria andrea 19012026</t>
  </si>
  <si>
    <t>Receptáculo 130x70</t>
  </si>
  <si>
    <t>Receptáculo 130x80</t>
  </si>
  <si>
    <t>Receptaculo 130x80 chc</t>
  </si>
  <si>
    <t>Sala de baño 30.5 cm ( lavamanos y wc)</t>
  </si>
  <si>
    <t>nueva Mauro 03092025</t>
  </si>
  <si>
    <t>si</t>
  </si>
  <si>
    <t>Teflon</t>
  </si>
  <si>
    <t>Termo eléctrico 100 litros</t>
  </si>
  <si>
    <t>Tina 70X140 cm HY Blanco Norglas</t>
  </si>
  <si>
    <t>Tina 80X180 cm Myloa Norglas</t>
  </si>
  <si>
    <t>Urinario new  campus blanco</t>
  </si>
  <si>
    <t>nueva andrea 2122025</t>
  </si>
  <si>
    <t>Falabella</t>
  </si>
  <si>
    <t>Vanitorio Lavamanos Al Aire Vesanti 63 Centimentros</t>
  </si>
  <si>
    <t>Vinilit</t>
  </si>
  <si>
    <t>Wc One Pice</t>
  </si>
  <si>
    <t>Estufa A leña Bosca Eco</t>
  </si>
  <si>
    <t>Climatización</t>
  </si>
  <si>
    <t>Nueva rebeca 24062025</t>
  </si>
  <si>
    <t>Campana + Encimera Electrica 4 Platos + Horno Electrico</t>
  </si>
  <si>
    <t>Cocina</t>
  </si>
  <si>
    <t>valor actualizado 17062025</t>
  </si>
  <si>
    <t>Campana 2 platos</t>
  </si>
  <si>
    <t>Categoria nueva andrea 26082025</t>
  </si>
  <si>
    <t>Campana Rectangular Acero Inox 90 cm Maigas 90M17 - oferta 07082025</t>
  </si>
  <si>
    <t>Nuevo categoria andrea precio oferta 07082025</t>
  </si>
  <si>
    <t>Cocina a gas 2 platos</t>
  </si>
  <si>
    <t>Nueva categoria rebeca 25082025</t>
  </si>
  <si>
    <t>Encimera electrica 2 platos</t>
  </si>
  <si>
    <t>Presupuesto Casa Maitencillo 40 Pies</t>
  </si>
  <si>
    <t>Encimera Vitrocerámica de 4 Platos Negra</t>
  </si>
  <si>
    <t>Nuevo categoria andrea precio  07082025</t>
  </si>
  <si>
    <t xml:space="preserve">Extencion Mueble de cocina </t>
  </si>
  <si>
    <t>Nueva 12012026</t>
  </si>
  <si>
    <t>Horno empotrado</t>
  </si>
  <si>
    <t xml:space="preserve">Isla con cubierta y patas de cuarzo </t>
  </si>
  <si>
    <t xml:space="preserve">Nueva categoria </t>
  </si>
  <si>
    <t>Isla madera potformada 1,20X60</t>
  </si>
  <si>
    <t>nueva categoria Rebeca 26082025</t>
  </si>
  <si>
    <t>Isla móvil con cubierta de cuarzo 0,60 x 1,20</t>
  </si>
  <si>
    <t>Nueva categoria andrea 13062025</t>
  </si>
  <si>
    <t xml:space="preserve">Lavaplatos Doble </t>
  </si>
  <si>
    <t>Nueva javier 27082025</t>
  </si>
  <si>
    <t xml:space="preserve">Lavaplatos Embutido </t>
  </si>
  <si>
    <t>actualizacion de valor 25032025</t>
  </si>
  <si>
    <t>Lavaplatos Termolaminado</t>
  </si>
  <si>
    <t>nuevo 21042025 Javier</t>
  </si>
  <si>
    <t>Llave gas encimera</t>
  </si>
  <si>
    <t>valor actualizado 31122025</t>
  </si>
  <si>
    <t xml:space="preserve">Mesa de desayuno 130x60 </t>
  </si>
  <si>
    <t>Nuevo javier 6112025</t>
  </si>
  <si>
    <t>Mesón de cocina cubierta de cuarzo 2200 mm</t>
  </si>
  <si>
    <t>nueva javier 22102025</t>
  </si>
  <si>
    <t>Mueble base de cocina 1,50</t>
  </si>
  <si>
    <t>nueva rebeca 9102025</t>
  </si>
  <si>
    <t>Mueble de Cocina 2 ,20 metros</t>
  </si>
  <si>
    <t>nueva categoria 10042025</t>
  </si>
  <si>
    <t>Mueble de Cocina 2 ,20 metros + Isla</t>
  </si>
  <si>
    <t>Nueva categoria 25032025</t>
  </si>
  <si>
    <t>Mueble De Cocina 2 Metros + Isla Movil ( Encimera 2 Platos Electricos + Horno Electrico + Muebles Aereos)</t>
  </si>
  <si>
    <t>Mueble De Cocina 2 Metros lavaplatos ( Encimera 4 Platos Electricos + Horno Electrico + Muebles Aereo+ campana)</t>
  </si>
  <si>
    <t>Mueble de cocina Cub Cuarzo 3,20 mts + Aereo+Encimera+horno+Campana+ Isla Cuarzo</t>
  </si>
  <si>
    <t>nueva categoria andrea 25092025</t>
  </si>
  <si>
    <t>Mueble De Cocina Cub Quarzo ( 2M ) + Aereo + Encimera Gas + Campana + Horno Empótrado</t>
  </si>
  <si>
    <t>Mueble De Cocina Cub Quarzo (3,20)</t>
  </si>
  <si>
    <t>Nueva categoria 14082025</t>
  </si>
  <si>
    <t>Mueble de cocina cubierta de cuazo 3,20 muebles inferiores</t>
  </si>
  <si>
    <t>nueva categoria javier 23102025</t>
  </si>
  <si>
    <t>Mueble de cocina tipo isla + meson de desayuno</t>
  </si>
  <si>
    <t>nueva categoria Andrea 07082025</t>
  </si>
  <si>
    <t>Mueble de cocina, Cub. Quarzo (3m) + Aereo  + Horno, Encimera y Campana +mesa desayuno 40 x 140</t>
  </si>
  <si>
    <t>Se agrega javier 24042025</t>
  </si>
  <si>
    <t>Tubo Campana corrugado aluminio 5"</t>
  </si>
  <si>
    <t>nueva Javier 26032025</t>
  </si>
  <si>
    <t>Container Maritimo  Estandar 6 X 2,44 X 2,59 - 20 Pies</t>
  </si>
  <si>
    <t>Container</t>
  </si>
  <si>
    <t>Categoria nueva javier 15042025</t>
  </si>
  <si>
    <t>Container Maritimo  HC 12 x 2,44 x 2,89 - 40 Pies</t>
  </si>
  <si>
    <t>Actualizado valor 14032025</t>
  </si>
  <si>
    <t>Container Maritimo Estandar 12 x 2,44 x 2,59 - 40 Pies</t>
  </si>
  <si>
    <t>Presupuesto Cabaña Estandar  40 Pies 04112024</t>
  </si>
  <si>
    <t>Container Maritimo HC 13,716 x 2,44 x 2,89 - 45 Pies</t>
  </si>
  <si>
    <t>Actualizacion de valor 10042025</t>
  </si>
  <si>
    <t>Container Maritimo Reefer 12 x 2,44 x 2,89 - 40 Pies</t>
  </si>
  <si>
    <t>actualizacion precio 29052025</t>
  </si>
  <si>
    <t>Abrazaderas Metalicas</t>
  </si>
  <si>
    <t>Electricidad</t>
  </si>
  <si>
    <t>actualizacion de 26032025</t>
  </si>
  <si>
    <t>Automático 10 Amperes</t>
  </si>
  <si>
    <t>Automatico 16 Amperes</t>
  </si>
  <si>
    <t>Automatico 25 Amperes</t>
  </si>
  <si>
    <t>Bipolar</t>
  </si>
  <si>
    <t>Cable  924</t>
  </si>
  <si>
    <t>valor rollo 100 metros 26.300 / 2</t>
  </si>
  <si>
    <t>Cable eva 4 mm (pack 3 rollos 3 colores 10metros c/u)</t>
  </si>
  <si>
    <t xml:space="preserve">nueva javier </t>
  </si>
  <si>
    <t>Cableado 1,5 En Eva - Rollo 50m</t>
  </si>
  <si>
    <t>actualizacion valor 26.210/2 - javier 25032025</t>
  </si>
  <si>
    <t>Cableado 2,5 En Eva - Rollo 50m</t>
  </si>
  <si>
    <t>actualizacion valor 35000/2 - javier 25032025</t>
  </si>
  <si>
    <t>Caja 100 x 65 x 100 mm Estanca Blanco Mec</t>
  </si>
  <si>
    <t>Nueva categoria 03072025</t>
  </si>
  <si>
    <t>Caja De Distribución</t>
  </si>
  <si>
    <t>Caja estanca exterior</t>
  </si>
  <si>
    <t>Nueva javier 28082025</t>
  </si>
  <si>
    <t>Cinta Aislante</t>
  </si>
  <si>
    <t>Conectores Conicos 1,5</t>
  </si>
  <si>
    <t>Paquete</t>
  </si>
  <si>
    <t>Conectores Conicos 2,5</t>
  </si>
  <si>
    <t xml:space="preserve">Conectores Terminales 20Mm </t>
  </si>
  <si>
    <t>Diferenciales De 25 O 32 Amperes</t>
  </si>
  <si>
    <t>Enchufe Simple 16 ap</t>
  </si>
  <si>
    <t>Nueva categoria Javier 26032025</t>
  </si>
  <si>
    <t>Enchufes Dobles</t>
  </si>
  <si>
    <t>Enchufes Dobles Ip65</t>
  </si>
  <si>
    <t>Fruler 1,5</t>
  </si>
  <si>
    <t>Fruler 2,5</t>
  </si>
  <si>
    <t>Fusible 25 Amperes</t>
  </si>
  <si>
    <t>Interruptor 915</t>
  </si>
  <si>
    <t>Interruptor triple (9/32) 10 A Blanco Genesis</t>
  </si>
  <si>
    <t>nueva javier 14102025</t>
  </si>
  <si>
    <t>Interruptores 912</t>
  </si>
  <si>
    <t>Interruptores 924</t>
  </si>
  <si>
    <t>Regleta Para Tablero</t>
  </si>
  <si>
    <t>Tablero Embutido Electrico 12 Puestos</t>
  </si>
  <si>
    <t>Nueva categoria javier 26022025</t>
  </si>
  <si>
    <t>Tablero Embutido Electrico 24 Puestos</t>
  </si>
  <si>
    <t>Tablero Embutido Electrico 36 Puestos</t>
  </si>
  <si>
    <t>Tapas Ciegas Modulares Blancas</t>
  </si>
  <si>
    <t xml:space="preserve">Toma Exterior Tipo Legrand </t>
  </si>
  <si>
    <t>Tuberia emt 16mm x 3mts</t>
  </si>
  <si>
    <t>nueva andrea 01122025</t>
  </si>
  <si>
    <t>Tubo Conduit 20Mm</t>
  </si>
  <si>
    <t>Vinilit Electrico</t>
  </si>
  <si>
    <t>valor actualizado javier 26032025</t>
  </si>
  <si>
    <t xml:space="preserve">Angulo wpc Dark Grey 2,40 x 55 x 55 </t>
  </si>
  <si>
    <t>Fachada</t>
  </si>
  <si>
    <t>Plancha lam cal 3,0x1000xs300mm</t>
  </si>
  <si>
    <t>Plancha lam frio 0,8x1000xs300mm</t>
  </si>
  <si>
    <t>Sinding Metalico Negro o Gris  290x38,3x1,6cm</t>
  </si>
  <si>
    <t>nuevo mauricio c 30012026</t>
  </si>
  <si>
    <t>Sinding Metalico Perfil de Inicio o Termino</t>
  </si>
  <si>
    <t>Smart Panel</t>
  </si>
  <si>
    <t>WPC Exterior</t>
  </si>
  <si>
    <t>Cadena Metalcom estructural 150x9.2mm 4.5 M</t>
  </si>
  <si>
    <t>Fundiciones</t>
  </si>
  <si>
    <t>nuevas andrea 27012029</t>
  </si>
  <si>
    <t>Caja de Tornillos 6x2"</t>
  </si>
  <si>
    <t>nuevas andrea 27012030</t>
  </si>
  <si>
    <t>Hormigón H25 6m3</t>
  </si>
  <si>
    <t>nuevas andrea 27012027</t>
  </si>
  <si>
    <t>Mano de Obra Fabricación Fundaciones</t>
  </si>
  <si>
    <t>nuevas andrea 27012031</t>
  </si>
  <si>
    <t>Plancha de acero laminado para Flanches 1000x 3000 10mm.</t>
  </si>
  <si>
    <t>nuevas andrea 27012026</t>
  </si>
  <si>
    <t>Tablero terciado estructural 18mm</t>
  </si>
  <si>
    <t>nuevas andrea 27012028</t>
  </si>
  <si>
    <t>Llaves Monomando - Ducha</t>
  </si>
  <si>
    <t>Grifería</t>
  </si>
  <si>
    <t>Llaves Monomando - Lava Manos</t>
  </si>
  <si>
    <t>Llaves Monomando - Lava Platos</t>
  </si>
  <si>
    <t>Foco Embutido Niquel + Ampolleta led calido</t>
  </si>
  <si>
    <t>Iluminación</t>
  </si>
  <si>
    <t>nueva categoria rebeca</t>
  </si>
  <si>
    <t>Focos Led Pack 3 De Lamparas 30w</t>
  </si>
  <si>
    <t>Nueva categoria 27062025 Andrea</t>
  </si>
  <si>
    <t>Iluminación Exterior</t>
  </si>
  <si>
    <t>valor actualizado javier 30042025</t>
  </si>
  <si>
    <t>Iluminación Interior Led Calida 1800Wts</t>
  </si>
  <si>
    <t>Categoria nueva javier 26022025</t>
  </si>
  <si>
    <t>Iluminación Interior Led Fria 1800Wts</t>
  </si>
  <si>
    <t>Iluminiacion Interior Decroit con Led 5w</t>
  </si>
  <si>
    <t>Nueva mauricio caro 9052025</t>
  </si>
  <si>
    <t>Luces Empotrada 22 mm</t>
  </si>
  <si>
    <t>Nueva categoria entregada por Javier 19032025</t>
  </si>
  <si>
    <t>Luces Estanco Led 1X10W</t>
  </si>
  <si>
    <t>Luz Piloto</t>
  </si>
  <si>
    <t>Mueble muro tv living</t>
  </si>
  <si>
    <t>Living</t>
  </si>
  <si>
    <t>nueva javier 10112025</t>
  </si>
  <si>
    <t>Base de Cemento 40x40x40</t>
  </si>
  <si>
    <t>Obras</t>
  </si>
  <si>
    <t>Categoria nueva Mauro 26062025</t>
  </si>
  <si>
    <t xml:space="preserve">Barniz Cerestain </t>
  </si>
  <si>
    <t>Pintura</t>
  </si>
  <si>
    <t>Galon</t>
  </si>
  <si>
    <t>Barniz Con Poliuretano 1/4 Puerta Exterior</t>
  </si>
  <si>
    <t>1/4 Galon</t>
  </si>
  <si>
    <t xml:space="preserve">Diluyente Duco </t>
  </si>
  <si>
    <t>Pintura Anticorrosivo (Galon)</t>
  </si>
  <si>
    <t>nueva categoria 17062025</t>
  </si>
  <si>
    <t>Pintura Anticorrosivo (Tineta)</t>
  </si>
  <si>
    <t>Tineta</t>
  </si>
  <si>
    <t>Pintura Anticorrosivo (Tineta)  - 20 pies</t>
  </si>
  <si>
    <t>1/2 Tineta</t>
  </si>
  <si>
    <t>valores div en dos por usar mitad de tineta</t>
  </si>
  <si>
    <t>Pintura Esmalte al Agua - Color a eleccion</t>
  </si>
  <si>
    <t>Pintura Esmalte al Agua - Color a eleccion  - 20 pies</t>
  </si>
  <si>
    <t>Pintura Esmalte Al Agua Color Blanco</t>
  </si>
  <si>
    <t>Pintura Esmalte Al Agua Color Blanco  - 20 pies</t>
  </si>
  <si>
    <t>Pintura Exterior Esmalte Sintetico - Color a Eleccion</t>
  </si>
  <si>
    <t>Pintura Exterior Esmalte Sintetico - Color a Eleccion  - 20 pies</t>
  </si>
  <si>
    <t>Pintura Exterior Esmalte Sintetico - Color Blanco</t>
  </si>
  <si>
    <t>Pintura Exterior Esmalte Sintetico - Color Blanco  - 20 pies</t>
  </si>
  <si>
    <t>Pintura impermeable acrílica Sikafill</t>
  </si>
  <si>
    <t>nueva categoria Mauro 26082025</t>
  </si>
  <si>
    <t>Pintura Latex</t>
  </si>
  <si>
    <t>Pintura Latex - 20 pies</t>
  </si>
  <si>
    <t>Rodillos Brochas Cinta Maskin Diluyente</t>
  </si>
  <si>
    <t>Sellado Madera Sipa Acabado Satinado color incoloro</t>
  </si>
  <si>
    <t>rebeca 10102026</t>
  </si>
  <si>
    <t>Espuma Niveladora 10 metros</t>
  </si>
  <si>
    <t>Piso</t>
  </si>
  <si>
    <t>Nueva categoria 08042025</t>
  </si>
  <si>
    <t>Fragüe cerámico 1 kg</t>
  </si>
  <si>
    <t>nueva cateogoria javier 22082025</t>
  </si>
  <si>
    <t>Piso DECK WPC Color Madera XFD002</t>
  </si>
  <si>
    <t>nueva categoria javier 6102025</t>
  </si>
  <si>
    <t>Piso Flotante Alto Trafico 8mm</t>
  </si>
  <si>
    <t>Piso Vinilico Tipo Click 6 Mm</t>
  </si>
  <si>
    <t>valor actualizado 04062025</t>
  </si>
  <si>
    <t>Piso Vinilico Tipo Click 9mm</t>
  </si>
  <si>
    <t>Presupuesto Cabaña Colina Premium  40 Pies 04112024</t>
  </si>
  <si>
    <t>Plancha fibrocemento lisa 5mm 120x240 cm</t>
  </si>
  <si>
    <t>nueva 10092025 javier</t>
  </si>
  <si>
    <t>Ferrobal</t>
  </si>
  <si>
    <t>Porcelanato Baku Haya 30x120 cm 1.80m2</t>
  </si>
  <si>
    <t>Nueva categoria 23062025</t>
  </si>
  <si>
    <t>Porcelanato Camper beige 60x60</t>
  </si>
  <si>
    <t>Nueva andrea 24112025</t>
  </si>
  <si>
    <t>Porcelanato color Haya WF61515 15x60 cm</t>
  </si>
  <si>
    <t>Nueva categoria 27062025</t>
  </si>
  <si>
    <t>Protector de madera transparente</t>
  </si>
  <si>
    <t>nueva 06102025</t>
  </si>
  <si>
    <t>Tinta adheviso con pasta AC 25kg</t>
  </si>
  <si>
    <t>Alero Liso 100x120 Transparente</t>
  </si>
  <si>
    <t>Puerta</t>
  </si>
  <si>
    <t>Nueva categoria 080421025</t>
  </si>
  <si>
    <t>Bisagra aluminio 1, 45 mm satinado</t>
  </si>
  <si>
    <t>no</t>
  </si>
  <si>
    <t>Bisagras</t>
  </si>
  <si>
    <t>Bisagras Puerta Exterior</t>
  </si>
  <si>
    <t>Cerrojo Carcelero 8 zincado</t>
  </si>
  <si>
    <t>nueva javier 11112025</t>
  </si>
  <si>
    <t>Chapa Puerta</t>
  </si>
  <si>
    <t>Chapa Puerta cangrejo</t>
  </si>
  <si>
    <t>nuevas categorias entregadas por Javier 05022025</t>
  </si>
  <si>
    <t>Chapa Puerta Exterio Chapa De Seguridad</t>
  </si>
  <si>
    <t>Kit Puerta Granero</t>
  </si>
  <si>
    <t>Mampara Pino Radiata 4 Luces  30x200</t>
  </si>
  <si>
    <t>nueva rebeca 28012026</t>
  </si>
  <si>
    <t>Marco Puerta</t>
  </si>
  <si>
    <t>Marco Puerta Exterior</t>
  </si>
  <si>
    <t>Picaporte Carcelero dorado 30cm</t>
  </si>
  <si>
    <t>Pomel 3/4 - 2 unidades</t>
  </si>
  <si>
    <t>Nueva categoria javier 09092025</t>
  </si>
  <si>
    <t>Puerta  Interior  Sinfonia 65</t>
  </si>
  <si>
    <t>nuevas categorias entregadas por Javier 06022025</t>
  </si>
  <si>
    <t>Puerta Abatible doble aluminio PVC 1,40 x 2,00</t>
  </si>
  <si>
    <t>Puerta Abatible doble Termopanel PVC 1,40 x 2,00</t>
  </si>
  <si>
    <t>nueva categoria mauro 21082025</t>
  </si>
  <si>
    <t>Puerta Blanca Milano MDF 80cm</t>
  </si>
  <si>
    <t>nuevas categorias entregadas por Javier 14022025</t>
  </si>
  <si>
    <t>Puerta de seguridad exterior</t>
  </si>
  <si>
    <t xml:space="preserve">valor por confirmar </t>
  </si>
  <si>
    <t>Puerta de seguridad kit wintec</t>
  </si>
  <si>
    <t>nueva rebeca19112025</t>
  </si>
  <si>
    <t>Puerta Enchapada Capri</t>
  </si>
  <si>
    <t>Puerta Exterior Bio Bio 100x200</t>
  </si>
  <si>
    <t>Puerta Exterior Italia Radiata 60x200</t>
  </si>
  <si>
    <t>nueva javier 02022026</t>
  </si>
  <si>
    <t>Puerta exterior lata contenedor</t>
  </si>
  <si>
    <t>consolidado de puerta  09092025</t>
  </si>
  <si>
    <t>Puerta Exterior Lauca 70x200</t>
  </si>
  <si>
    <t>Puerta Exterior Millenium 90x200  + Kit (Barniz, sellado y protector)</t>
  </si>
  <si>
    <t>Nueva Andrea 4092025</t>
  </si>
  <si>
    <t>Puerta Exterior Pino Oregon</t>
  </si>
  <si>
    <t>Puerta Exterior Pino Rabiata Italia 80X200</t>
  </si>
  <si>
    <t>nuevas categorias entregadas por Javier 1302025</t>
  </si>
  <si>
    <t>Puerta Granero x2 Mirador (Oregón)</t>
  </si>
  <si>
    <t>Puerta Interior MDF 70x210 cm Azapa Blanco</t>
  </si>
  <si>
    <t>Nueva categoria 02072025 Javier</t>
  </si>
  <si>
    <t>Puerta Interior Sinfonia 70</t>
  </si>
  <si>
    <t>Puerta Interior Sinfonia 80</t>
  </si>
  <si>
    <t>Puerta interior walking closet</t>
  </si>
  <si>
    <t xml:space="preserve">Presupuesto Casa Ulises  40 Pies </t>
  </si>
  <si>
    <t>Puerta Lenga Corsica 100x200</t>
  </si>
  <si>
    <t>nuevas categorias entregadas por Rebeca 1706025</t>
  </si>
  <si>
    <t>Puerta Lenga Piamonte 100x200</t>
  </si>
  <si>
    <t>Puerta livorno (Lenga)90 cm</t>
  </si>
  <si>
    <t>Puerta metaliza sinfonía</t>
  </si>
  <si>
    <t>Puerta Pino Oregón Lanalhue 75x200 cm AFN</t>
  </si>
  <si>
    <t>Modificacion de nombre Javier 12022025</t>
  </si>
  <si>
    <t>Puerta pino solida canteria 85x2,00mt</t>
  </si>
  <si>
    <t>Nueva Categoria andrea 17062025</t>
  </si>
  <si>
    <t>Puerta pvc termopanel con chapa 0,80x 2,00</t>
  </si>
  <si>
    <t>Puerta vidriada de 0,80 x 2,00 Termopanel PVC</t>
  </si>
  <si>
    <t>andrea 10102026</t>
  </si>
  <si>
    <t>Puertas Interiores Baño Corredera</t>
  </si>
  <si>
    <t>Tope de Puertas</t>
  </si>
  <si>
    <t>Puertas</t>
  </si>
  <si>
    <t>nueva mauro 02022026</t>
  </si>
  <si>
    <t>Codo 20mm 90° PPR Koalition</t>
  </si>
  <si>
    <t>Sanitario</t>
  </si>
  <si>
    <t>Categorias nuevas Javier 24032025</t>
  </si>
  <si>
    <t>Codo 20Mm Ppr</t>
  </si>
  <si>
    <t>Valor modificado Javier 07022025</t>
  </si>
  <si>
    <t>Codo HE 20" 1/2 PPR Koalition</t>
  </si>
  <si>
    <t>Conexión Sanitaria T 110mm</t>
  </si>
  <si>
    <t>Categoria nueva javier 07022025</t>
  </si>
  <si>
    <t>Conexión Sanitaria T 110mm a 40mm</t>
  </si>
  <si>
    <t>Conexión Sanitaria T 40mm</t>
  </si>
  <si>
    <t>Conexiones Sanitarias Codo 110mm</t>
  </si>
  <si>
    <t>Conexiones Sanitarias Codo 40mm</t>
  </si>
  <si>
    <t>Copla  20mm PPR Koalition</t>
  </si>
  <si>
    <t>Coplas 20Mm Ppr</t>
  </si>
  <si>
    <t>Valor actualizado javier 07022025</t>
  </si>
  <si>
    <t>Desagues Ducha</t>
  </si>
  <si>
    <t>Desagues Lavaplatos</t>
  </si>
  <si>
    <t>Desgues Lavamos</t>
  </si>
  <si>
    <t>Flexibles</t>
  </si>
  <si>
    <t>Kit De Lavaplatos</t>
  </si>
  <si>
    <t>Presupuesto Vivienda Container Maritimo Lo Aguirre HC</t>
  </si>
  <si>
    <t>Kit Instalacion Sanitario Wc</t>
  </si>
  <si>
    <t>kit Lavaplatos empotrable (sifones, llaves y accesorios)</t>
  </si>
  <si>
    <t>Lavamanos</t>
  </si>
  <si>
    <t>Sifon Lavamanos</t>
  </si>
  <si>
    <t>Sifon Lavaplatos</t>
  </si>
  <si>
    <t>Terminal HE 20Mm Ppr</t>
  </si>
  <si>
    <t>Terminal Hi 20Mm Ppr</t>
  </si>
  <si>
    <t>Tuberia multicapa Fusion PN16 20mm 3Mts</t>
  </si>
  <si>
    <t>Tuberia Sanitaria 110Mm 3Metros</t>
  </si>
  <si>
    <t>Tuberia Sanitaria 110Mm 6Metros</t>
  </si>
  <si>
    <t>Tuberia Sanitaria 40Mm 3Metros</t>
  </si>
  <si>
    <t>Union T PPR 20Mm</t>
  </si>
  <si>
    <t>Vinilit Sanitario</t>
  </si>
  <si>
    <t>Modificacion de nombre Javier 07022025</t>
  </si>
  <si>
    <t>Angulo gris de aluminio 32x32 2,5 mm 2,5 metros</t>
  </si>
  <si>
    <t>Tabiquería</t>
  </si>
  <si>
    <t>Angulos 50 X 50 2Mm</t>
  </si>
  <si>
    <t>Canal 80 x 40 2mm x 6 metros</t>
  </si>
  <si>
    <t>Canal Cielo 20X 25  0,4mm x 3m</t>
  </si>
  <si>
    <t>se cambia el nombre 05022025</t>
  </si>
  <si>
    <t>Canal Estructural U 2X4 0,85 mm</t>
  </si>
  <si>
    <t>Nueva categoria rebeca 25092025</t>
  </si>
  <si>
    <t>Canal Normal 61X20X05Mm 3Mt</t>
  </si>
  <si>
    <t>Nueva categoria javier 24032025</t>
  </si>
  <si>
    <t>Canal U 62x20x0,50 mm 3m</t>
  </si>
  <si>
    <t>Nueva categoria 09092025</t>
  </si>
  <si>
    <t>Canal U 62x25x0,85 mm 6m</t>
  </si>
  <si>
    <t>Nueva 19012025 jose</t>
  </si>
  <si>
    <t>Carga Gas Soldadura Compresion (10m3)</t>
  </si>
  <si>
    <t>valor gas  62.000 div /2 - actualizacion 250302025</t>
  </si>
  <si>
    <t>Cielo Perfil AT 20X 25X 0,4mm 3metros</t>
  </si>
  <si>
    <t>Cielo Portante 40X18X10X0,5Mm 3Mts</t>
  </si>
  <si>
    <t>Cinta malla para yeso</t>
  </si>
  <si>
    <t>Cornisas</t>
  </si>
  <si>
    <t>Cuarto rodon 13</t>
  </si>
  <si>
    <t>nueva valor entregado javier 05022025</t>
  </si>
  <si>
    <t>Cuarto rodon 19</t>
  </si>
  <si>
    <t xml:space="preserve">Disco De Corte </t>
  </si>
  <si>
    <t>Esquinero metalcom 30x30x 0,4mm 240</t>
  </si>
  <si>
    <t>Esquinero Pino 30X30</t>
  </si>
  <si>
    <t>Esquinero Tapa Canto 16mm x 250 Aluminio</t>
  </si>
  <si>
    <t>Nueva categoria javier 08042025</t>
  </si>
  <si>
    <t>Estructura impregnada 2x6 cepillado 41x138 mm 4.8m</t>
  </si>
  <si>
    <t>Estructural C 2X3" 085Mm 2,4</t>
  </si>
  <si>
    <t>Extructura Tina (Completo)</t>
  </si>
  <si>
    <t>Golilla plana corriente 1/4" 4 unidades</t>
  </si>
  <si>
    <t>Guardapolvos</t>
  </si>
  <si>
    <t>Guardapolvos pvc</t>
  </si>
  <si>
    <t>Lijas de madera 100</t>
  </si>
  <si>
    <t>nuevas categorias entregadas por Javier 21022025</t>
  </si>
  <si>
    <t>Lijas de madera 120</t>
  </si>
  <si>
    <t>Malla mosquitera galvanizada</t>
  </si>
  <si>
    <t>Mauro 25082025</t>
  </si>
  <si>
    <t>Masilla Base</t>
  </si>
  <si>
    <t>Masilla Base 25kg</t>
  </si>
  <si>
    <t>Melamina Blanco 15mm 183x250cm</t>
  </si>
  <si>
    <t>Nueva Mauro 4092025</t>
  </si>
  <si>
    <t>Membrana hidrofuga respirable 40m2</t>
  </si>
  <si>
    <t>Metalcon C 60X38X0,85X6Mts</t>
  </si>
  <si>
    <t>Monante Economico 38x60 0,5 x 240</t>
  </si>
  <si>
    <t>Montante Normal 60X38X6X0,5Mm  2,4 Mts</t>
  </si>
  <si>
    <t>OBS Estructural 11mm 122x244cm</t>
  </si>
  <si>
    <t>Osb Perimetral 9X1200X2440Mm</t>
  </si>
  <si>
    <t>Pasta De Muro</t>
  </si>
  <si>
    <t>Pasta Muro F-15 Vinilica 25 Kg</t>
  </si>
  <si>
    <t>Perfil 30 x 30 2mm 6 metros</t>
  </si>
  <si>
    <t>Perfil 75 x 75 pilares</t>
  </si>
  <si>
    <t>Perfil 75 x 75 pilares Terraza</t>
  </si>
  <si>
    <t>Perfil 80 X 40 X 2 Mm  6 metros</t>
  </si>
  <si>
    <t>Categoria nueva javier 14032025</t>
  </si>
  <si>
    <t>Perfil C metalcon estructural metal 90x20x0,85 mm 4m</t>
  </si>
  <si>
    <t>Perfil canal 100x50x2 mm 6 mm</t>
  </si>
  <si>
    <t>Perfil Cuadrado 100x50 x 2mm 6 metros</t>
  </si>
  <si>
    <t>Nueva categoria javier 04062025</t>
  </si>
  <si>
    <t>Perfil cuadrado 40x40x2mm 6m</t>
  </si>
  <si>
    <t>Perfil cuadrado 50x50x3mm 6m</t>
  </si>
  <si>
    <t>Perfil cuadrado acero 40x40x2 mm 6m</t>
  </si>
  <si>
    <t>Perfil cuadrado acero 50x50x2 mm 6 m</t>
  </si>
  <si>
    <t>Perfil Rectangular 100x50 x 2mm 6 metros</t>
  </si>
  <si>
    <t>Perfil Rectangular 100x50 x 3mm 6 metros</t>
  </si>
  <si>
    <t>Perfil Rectangular 50x20x 2mm 6 metros</t>
  </si>
  <si>
    <t>nueva 25112025</t>
  </si>
  <si>
    <t>Perfil rectangular acero 40x20x 2mm 6 m</t>
  </si>
  <si>
    <t>Perfil rectangular acero 80x40x 2mm 6 m</t>
  </si>
  <si>
    <t>Perfil tubular 30x30 1mm x 3 metros</t>
  </si>
  <si>
    <t>Perfiles De Ventanas 80 X 40 3Mm</t>
  </si>
  <si>
    <t>Perno coche 1/4" x4 1/2" 2 unidades</t>
  </si>
  <si>
    <t>Pino Machihembrado Seco Cepillado 3/4x 5 3,2m</t>
  </si>
  <si>
    <t>Nueva javier 9052025</t>
  </si>
  <si>
    <t>Plancha fierro laminado 0,5 mm x 1x3m</t>
  </si>
  <si>
    <t>Plancha zinc acabalada 0,35mm</t>
  </si>
  <si>
    <t>Refuerzos Olb 8mm</t>
  </si>
  <si>
    <t>Refuerzos Osb 11,1Mm</t>
  </si>
  <si>
    <t>Refuerzos Osb 9Mm</t>
  </si>
  <si>
    <t>Rollo Mig de 15kilo</t>
  </si>
  <si>
    <t>General</t>
  </si>
  <si>
    <t>valor 42.000 div en 4 - mod 14032025</t>
  </si>
  <si>
    <t>Sello Poliuretano Pate</t>
  </si>
  <si>
    <t>Silicona Acrilica</t>
  </si>
  <si>
    <t>Silicona Para Montaje</t>
  </si>
  <si>
    <t>Silicona Pintable</t>
  </si>
  <si>
    <t>nuevas categorias entregadas por Javier 18022025</t>
  </si>
  <si>
    <t>Terciado Estructural Pino 18mm 1,22x2,44</t>
  </si>
  <si>
    <t>Nueva javier 09052025</t>
  </si>
  <si>
    <t>Terciado Ranurado 12 mm 122x244cm</t>
  </si>
  <si>
    <t>nuevas categorias entregadas por Javier 11062025</t>
  </si>
  <si>
    <t>Tornillos General</t>
  </si>
  <si>
    <t>Tuerca hexagonal 1/4 100unidades</t>
  </si>
  <si>
    <t>Vector Malla Mosquitera Metalica</t>
  </si>
  <si>
    <t>Nueva categoria Mauro 22082025</t>
  </si>
  <si>
    <t xml:space="preserve">Volcanita Cielo  10 Mm </t>
  </si>
  <si>
    <t>Volcanita Lisa 10 mm</t>
  </si>
  <si>
    <t>Volcanita Lisa 15 mm</t>
  </si>
  <si>
    <t xml:space="preserve">Volcanita Rf 12,5 mm </t>
  </si>
  <si>
    <t>Nueva categoria mauro 22082025</t>
  </si>
  <si>
    <t xml:space="preserve">Volcanita Rh 12,5 </t>
  </si>
  <si>
    <t xml:space="preserve">Vulcometal Estructura Cielo </t>
  </si>
  <si>
    <t>Vulcometal Estructura Muros 60 X 38 0,85 6 Mts</t>
  </si>
  <si>
    <t>Vulcometal Omega economico 40x18x10x 0,5mm 3m</t>
  </si>
  <si>
    <t>modificacion de nombre</t>
  </si>
  <si>
    <t>Wood Panel 2040x15cm x 17mm</t>
  </si>
  <si>
    <t>Cubrezocalo para plancha policarbonato</t>
  </si>
  <si>
    <t>Terraza</t>
  </si>
  <si>
    <t>Liston Pino 1 x 2"</t>
  </si>
  <si>
    <t>Piso Deck PVC WPC madera + Incluye insumos</t>
  </si>
  <si>
    <t>Policarbonato alveolar 2100 x 5800 x 6 mm</t>
  </si>
  <si>
    <t>Carga y descarga 3 contenedores</t>
  </si>
  <si>
    <t>Transporte</t>
  </si>
  <si>
    <t>nuevas andrea 27012032</t>
  </si>
  <si>
    <t>Espuma Poliuretano</t>
  </si>
  <si>
    <t>Unión</t>
  </si>
  <si>
    <t>Perfil Pletina  50 X 3Mm 6M</t>
  </si>
  <si>
    <t>Perfil Rectangular Acero 100X150  X 3 mm 6m</t>
  </si>
  <si>
    <t>Unión En Terreno por Contenedor</t>
  </si>
  <si>
    <t>se corrije valor javier 07022025</t>
  </si>
  <si>
    <t>Andamio 1 Cuerpo x 1,80</t>
  </si>
  <si>
    <t>Varios</t>
  </si>
  <si>
    <t>en homecenter</t>
  </si>
  <si>
    <t>Arriendo Taller De Construcción</t>
  </si>
  <si>
    <t>Ventana Aluminio Proyectante 200X50 + Ventana Fija 200x150</t>
  </si>
  <si>
    <t>Ventana</t>
  </si>
  <si>
    <t>nueva javier 04022026</t>
  </si>
  <si>
    <t>Ventana Aluminio Fija 70X160</t>
  </si>
  <si>
    <t>Baño Quimico</t>
  </si>
  <si>
    <t xml:space="preserve">nueva </t>
  </si>
  <si>
    <t>Bono Cumplimiento meta</t>
  </si>
  <si>
    <t>Nueva categ 8092025 - Alan Bonos</t>
  </si>
  <si>
    <t>Camioneta Alan Bencina Tag Y Mantencion</t>
  </si>
  <si>
    <t>Camioneta Miguel trabajo en terreno</t>
  </si>
  <si>
    <t>Nueva categoria andrea 22082025</t>
  </si>
  <si>
    <t>Conexión de Gas, Encimera y Calefont</t>
  </si>
  <si>
    <t>valor actualizado 22012026</t>
  </si>
  <si>
    <t>Corte y soldadura de contenedor</t>
  </si>
  <si>
    <t>Nueva categoria andrea 25092025</t>
  </si>
  <si>
    <t>Cortes de contenedor 20 pies</t>
  </si>
  <si>
    <t>nueva javier 4112025</t>
  </si>
  <si>
    <t>Electricidad Maestranza 20 pies</t>
  </si>
  <si>
    <t>Consumo electricidad maestranza 23072025</t>
  </si>
  <si>
    <t>Electricidad Maestranza 40 m2</t>
  </si>
  <si>
    <t>Firma contrato</t>
  </si>
  <si>
    <t>nueva 6112025</t>
  </si>
  <si>
    <t>Flete Contenedor</t>
  </si>
  <si>
    <t>Fletes General</t>
  </si>
  <si>
    <t>Grua Orquilla</t>
  </si>
  <si>
    <t>Nueva categoria javier 08072025</t>
  </si>
  <si>
    <t>Limpiza entrega de proyecto</t>
  </si>
  <si>
    <t>Nueva categ entrega 08092025</t>
  </si>
  <si>
    <t>Mano de Obra Adicional Juan Leon</t>
  </si>
  <si>
    <t>nuevan andrea 04022026</t>
  </si>
  <si>
    <t>Mano de  Obra Carpenteo</t>
  </si>
  <si>
    <t>valor actualizado 23072025</t>
  </si>
  <si>
    <t>Mano de Obra  20 Pies</t>
  </si>
  <si>
    <t>actualizacion 100402025</t>
  </si>
  <si>
    <t>Mano de Obra  40 Pies</t>
  </si>
  <si>
    <t>Actualizado alan 10122025</t>
  </si>
  <si>
    <t>Mano de Obra  45 Pies</t>
  </si>
  <si>
    <t>Nuevo 10042025</t>
  </si>
  <si>
    <t>Mano de Obra  60 Pies</t>
  </si>
  <si>
    <t>nuevo</t>
  </si>
  <si>
    <t>Mano de Obra 40 Pies altura 2,50 metros</t>
  </si>
  <si>
    <t>valor entregado Javier 03092025</t>
  </si>
  <si>
    <t>Mano de Obra Especial</t>
  </si>
  <si>
    <t>Mano de Obra Grateado</t>
  </si>
  <si>
    <t>valor por metro cuadrado</t>
  </si>
  <si>
    <t>Mano de Obra modular 3x12</t>
  </si>
  <si>
    <t>nueva categoria javier 04062025</t>
  </si>
  <si>
    <t>Mano de Obra Planta Libre</t>
  </si>
  <si>
    <t>Mano de obra porcelanato</t>
  </si>
  <si>
    <t>Nueva andrea 25112025</t>
  </si>
  <si>
    <t>Mano de obra protecciones</t>
  </si>
  <si>
    <t>Mano de obra puerta exterior lata contenedor</t>
  </si>
  <si>
    <t>actualizacion 09092025</t>
  </si>
  <si>
    <t>Mano de Obra Terraza</t>
  </si>
  <si>
    <t>Actualizacion valor 24062025</t>
  </si>
  <si>
    <t>Posventa 20 pies</t>
  </si>
  <si>
    <t>Posventa 40 pies</t>
  </si>
  <si>
    <t>nueva para cliente fuera de santiago</t>
  </si>
  <si>
    <t>Posventa General</t>
  </si>
  <si>
    <t>valor por contenedor</t>
  </si>
  <si>
    <t>Posventa Uniones</t>
  </si>
  <si>
    <t>nuevo 19052025</t>
  </si>
  <si>
    <t>Viatico Entrega Proyecto (1p x dia)</t>
  </si>
  <si>
    <t>Viatico por 1 personas 1 dia</t>
  </si>
  <si>
    <t>Viatico estadia por personas</t>
  </si>
  <si>
    <t>poner solo cantidad de personas</t>
  </si>
  <si>
    <t>Viatico mueblista</t>
  </si>
  <si>
    <t>nueva categoria andrea 10112025</t>
  </si>
  <si>
    <t>Viatico personas en terreno</t>
  </si>
  <si>
    <t>Viatico Taller (4p x dia)</t>
  </si>
  <si>
    <t>Viatico por 4 personas 1 dia</t>
  </si>
  <si>
    <t>Ventana 1,50 x 2,33</t>
  </si>
  <si>
    <t>nueva andrea 03092025</t>
  </si>
  <si>
    <t>Ventana 300 X 227</t>
  </si>
  <si>
    <t>nuevas categorias entregadas por Javier 10022025</t>
  </si>
  <si>
    <t>Ventana 70/30 de 3000 x 200  con tres rieles</t>
  </si>
  <si>
    <t>nueva javier 26012026</t>
  </si>
  <si>
    <t>Ventana Aluminio Corredera 100x100 cm</t>
  </si>
  <si>
    <t>nueva categoria javier 09072025</t>
  </si>
  <si>
    <t>Ventana Aluminio Proyectante 0,5X 1</t>
  </si>
  <si>
    <t>Ventana Aluminio Proyectante 1,5 X 0,5</t>
  </si>
  <si>
    <t>Ventana Aluminio Proyectante PVC 70X160</t>
  </si>
  <si>
    <t>Nueva 03022026</t>
  </si>
  <si>
    <t>Ventana Alumino Fija  0,85 x 1,30</t>
  </si>
  <si>
    <t>Nueva andrea 23052025</t>
  </si>
  <si>
    <t>Ventana Celosía (Baño) 0,46 X 0,55</t>
  </si>
  <si>
    <t>Ventana Corredera 1,00 X 0,50 Termopanel Pvc</t>
  </si>
  <si>
    <t>Nueva categoria javier 28042025</t>
  </si>
  <si>
    <t>Ventana Corredera 1,50 X 1,50 Termopanel Pvc Bl/Fol Madera/ Negro</t>
  </si>
  <si>
    <t>actualizacion 04062025</t>
  </si>
  <si>
    <t>Ventana Corredera 100x100 Linea 5000</t>
  </si>
  <si>
    <t>nuevas categorias entregadas por Javier 08022025</t>
  </si>
  <si>
    <t>Ventana Corredera 150 X 100</t>
  </si>
  <si>
    <t>Ventana corredera 150x40</t>
  </si>
  <si>
    <t>Ventana corredera 170x200</t>
  </si>
  <si>
    <t>Ventana Corredera 2,00 X 1,50</t>
  </si>
  <si>
    <t>nuevas categorias entregadas por Javier 07022025</t>
  </si>
  <si>
    <t>Ventana Corredera 2,50 X 0,50 Termopanel Pvc - Madera/ Nogla/ Caoba/ Blanco</t>
  </si>
  <si>
    <t>Ventana corredera 200x0,50</t>
  </si>
  <si>
    <t>nueva andrea 15092025</t>
  </si>
  <si>
    <t>Ventana corredera 250x150</t>
  </si>
  <si>
    <t>nueva javier</t>
  </si>
  <si>
    <t>Ventana Corredera 300 x 200</t>
  </si>
  <si>
    <t>Ventana corredera 400x 230</t>
  </si>
  <si>
    <t>nueva categoria Rebeca 25092025</t>
  </si>
  <si>
    <t>Ventana Corredera con chapa 300 x 200</t>
  </si>
  <si>
    <t>nueva javier 12122025</t>
  </si>
  <si>
    <t>Ventana corredera con chapa 400x 230</t>
  </si>
  <si>
    <t>Ventana corredera de 200 x 150</t>
  </si>
  <si>
    <t>nueva 2-1</t>
  </si>
  <si>
    <t>Ventana Corredera Termopanel PVC 2,00 X 1,50</t>
  </si>
  <si>
    <t>Ventana de PVC 100x 100 Termopanel corredera Linea bella</t>
  </si>
  <si>
    <t>Ventana de PVC 100x 100 Termopanel corredera Winhouse</t>
  </si>
  <si>
    <t>nueva javier 120092025</t>
  </si>
  <si>
    <t>Ventana Fija 0,70 x 0,60</t>
  </si>
  <si>
    <t>nueva andrea 22012026</t>
  </si>
  <si>
    <t>Ventana Fija 100X 30</t>
  </si>
  <si>
    <t>Ventana Fija 200x100</t>
  </si>
  <si>
    <t>Ventana Fija 75 X 233</t>
  </si>
  <si>
    <t>Nueva categoria rebeca 26062025</t>
  </si>
  <si>
    <t>Ventana guillotina de 800x1500 cierre tipo ferrocarril</t>
  </si>
  <si>
    <t>Nueva categoria javier 22092025</t>
  </si>
  <si>
    <t xml:space="preserve">Ventana guillotina de 800x1500 cierre tipo ferrocarril </t>
  </si>
  <si>
    <t>Nueva javier 20102025</t>
  </si>
  <si>
    <t xml:space="preserve">Ventana Paño fijo.pvc 1500x1000 cristal termopanel </t>
  </si>
  <si>
    <t>Ventana Proyec 0,50 X 0,50 Baño Termopanel Pvc - Madera/ Nogla/ Caoba/ Blanco/ Negro / Gris</t>
  </si>
  <si>
    <t>Valor sin el 7% por los colores descripcion</t>
  </si>
  <si>
    <t>Ventana Proyec 0,70 X 100 Termopanel Pvc - Madera/ Nogla/ Caoba/ Blanco / Negro / Gris</t>
  </si>
  <si>
    <t>Ventana Proyec 1,50 X 0,50 Termopanel Pvc - Madera/ Nogla/ Caoba/ Blanco / Negro / Gris</t>
  </si>
  <si>
    <t>Ventana Proyec 170 X 0,50 Termopanel Pvc - Madera/ Nogla/ Caoba/ Blanco</t>
  </si>
  <si>
    <t>nueva enviado por javier 24042025</t>
  </si>
  <si>
    <t>Ventana Proyec 233 X 233 Termopanel Pvc - Madera/ Nogla/ Caoba/ Blanco/ Negro / Gris</t>
  </si>
  <si>
    <t>Ventana Proyec 300 X 233 Termopanel Pvc - Madera/ Nogla/ Caoba/ Blanco/ Negro / Gris</t>
  </si>
  <si>
    <t>Ventana Proyec 50 X 100 Termopanel Pvc - Madera/ Nogla/ Caoba/ Blanco / Negro / Gris</t>
  </si>
  <si>
    <t>Ventana Proyec 70 X 150 Termopanel Pvc - Madera/ Nogla/ Caoba/ Blanco/ Negro / Gris</t>
  </si>
  <si>
    <t>nueva andrea 21012026</t>
  </si>
  <si>
    <t>Ventana Proyec 70 X 200 Termopanel Pvc - Madera/ Nogla/ Caoba/ Blanco/ Negro / Gris</t>
  </si>
  <si>
    <t>Ventana proyectante 0,70 x 0,60</t>
  </si>
  <si>
    <t>Ventana proyectante 1,20 x 0,50 Termopanel pvc Negro/Blanco/Fol Madera</t>
  </si>
  <si>
    <t>nueva 13102025 Andres</t>
  </si>
  <si>
    <t>Ventana proyectante 1,20 x 0,60</t>
  </si>
  <si>
    <t>Ventana proyectante 1,40 x 0,60</t>
  </si>
  <si>
    <t>Ventana redonda tipo escotilla con apertura de diámetro de 1500</t>
  </si>
  <si>
    <t>Ventana termo panel PVC 120x 150</t>
  </si>
  <si>
    <t>nueva rebeca 27012026</t>
  </si>
  <si>
    <t>Ventana Termopanel Pvc  Proyectante 1,50 X 1,00 Fol Mad</t>
  </si>
  <si>
    <t>Ventana Termopanel PVC 0,30 X 160</t>
  </si>
  <si>
    <t>nuevas categorias entregadas por Javier 14022025 VALOR POR CONF</t>
  </si>
  <si>
    <t>Ventana Termopanel PVC Fija  130 x 50</t>
  </si>
  <si>
    <t>nuevas categorias entregadas por Javier 26022025</t>
  </si>
  <si>
    <t>Ventana Termopanel PVC Fija 0,30 X 160</t>
  </si>
  <si>
    <t>Ventana Termopanel PVC Fija 0,35 x 2,00</t>
  </si>
  <si>
    <t>Ventana Termopanel PVC150 X 30</t>
  </si>
  <si>
    <t>Ventanal Aluminio Corredera 4,00 X 2,33</t>
  </si>
  <si>
    <t>nueva 16102025</t>
  </si>
  <si>
    <t>Ventanal Con Chapa 2,33 X 2,27 Corred Termopanel Pvc Fol Mad</t>
  </si>
  <si>
    <t>actualizado 16102025</t>
  </si>
  <si>
    <t>Ventanal Corredera 1,80 X 2,00 Termopanel Pvc - Madera/ Nogla/ Caoba/ Blanco / Negro / Gris</t>
  </si>
  <si>
    <t>Ventanal Corredera 2,00 X 2,00 Termopanel Pvc - Madera/ Nogla/ Caoba/ Blanco / Negro / Gris</t>
  </si>
  <si>
    <t>Ventanal Corredera 2,00 X 2,34 Termopanel Pvc - Madera/ Nogla/ Caoba/ Blanco / Negro / Gris</t>
  </si>
  <si>
    <t>nueva categoria rebeca 21072025</t>
  </si>
  <si>
    <t>Ventanal Corredera 2,30 X 1,50 Termopanel Pvc - Madera/ Nogla/ Caoba/ Blanco / Negro / Gris</t>
  </si>
  <si>
    <t>mismo valor de la 200x200</t>
  </si>
  <si>
    <t>Ventanal Corredera 2,50 X 2,00 Termopanel Pvc - Madera/ Nogla/ Caoba/ Blanco / Negro / Gris</t>
  </si>
  <si>
    <t>nueva 27082025</t>
  </si>
  <si>
    <t>Ventanal corredera 200x 230</t>
  </si>
  <si>
    <t>nueva javier 24102025</t>
  </si>
  <si>
    <t>Ventanal corredera 220x 230</t>
  </si>
  <si>
    <t>Ventanal corredera 3 hojas 6000x 2300 - Color a eleccion</t>
  </si>
  <si>
    <t>Ventanal Corredera 4,00 X 2,33 Termopanel Pvc - Madera/ Nogla/ Caoba/ Blanco / Negro / Gris</t>
  </si>
  <si>
    <t>Ventanal Corredera Chapa 2,00 X 2,00 Termopanel Pvc - Madera/ Nogla/ Caoba/ Blanco / Negro / Gris</t>
  </si>
  <si>
    <t xml:space="preserve">Ventanal corredera con chapa termopanel de 250x230 </t>
  </si>
  <si>
    <t xml:space="preserve">Ventanal corredera termopanel de 250x230 </t>
  </si>
  <si>
    <t>Ventanal Sin Chapa 2,33 X 2,27 Corred Termopanel Pvc Fol Mad</t>
  </si>
  <si>
    <t>nueva 15042025</t>
  </si>
  <si>
    <t>Ventanales 227 x 230</t>
  </si>
  <si>
    <t>nueva Javier 28102025</t>
  </si>
  <si>
    <t>Ventanales 227 x 230 con chapa</t>
  </si>
  <si>
    <t>nueva Javier 03092025</t>
  </si>
  <si>
    <t>Ventanales 227 x 233</t>
  </si>
  <si>
    <t>Ventanales 242 x 230</t>
  </si>
  <si>
    <t>Ventanales 310 x 230</t>
  </si>
  <si>
    <t>Personalizado</t>
  </si>
  <si>
    <t>Techo</t>
  </si>
  <si>
    <t>Focos Led Pack 3 de Lamparas 30w</t>
  </si>
  <si>
    <t>Poliuretano Proyectado 120 pies</t>
  </si>
  <si>
    <t>Poliuretano Proyectado 30 pies</t>
  </si>
  <si>
    <t>Siding Metalico - Plancha 5,85 x 0,38</t>
  </si>
  <si>
    <t>Poliuretano Proyectado 45 pies</t>
  </si>
  <si>
    <t>Iluminiación Interior Decroit con Led 5w</t>
  </si>
  <si>
    <t>Poliuretano Proyectado 60 pies</t>
  </si>
  <si>
    <t>Encinera electrica 2 platos</t>
  </si>
  <si>
    <t>Poliuretano Proyectado 90 pies</t>
  </si>
  <si>
    <t>Poliuretano Proyectado Base 120 pies</t>
  </si>
  <si>
    <t>Poliuretano Proyectado Base 30 pies</t>
  </si>
  <si>
    <t>Poliuretano Proyectado Base 45 pies</t>
  </si>
  <si>
    <t>Electricidad Maestranza 40 pies</t>
  </si>
  <si>
    <t>Poliuretano Proyectado Base 60 pies</t>
  </si>
  <si>
    <t>Poliuretano Proyectado Base 90 pies</t>
  </si>
  <si>
    <t xml:space="preserve">Descuento Especial Puerta </t>
  </si>
  <si>
    <t>Modelos</t>
  </si>
  <si>
    <t>Cantidad</t>
  </si>
  <si>
    <t>Costo Total</t>
  </si>
  <si>
    <t>Baño 130x80</t>
  </si>
  <si>
    <t>Baño Visita</t>
  </si>
  <si>
    <t xml:space="preserve">Cocina </t>
  </si>
  <si>
    <t>Electricidad 30 m2</t>
  </si>
  <si>
    <t>circuito iluminacion</t>
  </si>
  <si>
    <t>aire. Cocina y enchufe</t>
  </si>
  <si>
    <t>considera 3 enchufes dobles - 1 de 16ap - (habitacion)</t>
  </si>
  <si>
    <t>Pintura 30 m2</t>
  </si>
  <si>
    <t>Piso 120 m2</t>
  </si>
  <si>
    <t>Piso 30 m2</t>
  </si>
  <si>
    <t>Piso 45 m2</t>
  </si>
  <si>
    <t>Piso 60 m2</t>
  </si>
  <si>
    <t>Piso 90 m2</t>
  </si>
  <si>
    <t>Siempre que vayan paralelos</t>
  </si>
  <si>
    <t>Puertas 30 m2</t>
  </si>
  <si>
    <t>Tabiqueria 30 m2</t>
  </si>
  <si>
    <t>Tabiqueria Habitación</t>
  </si>
  <si>
    <t>Volcanitas Cielo</t>
  </si>
  <si>
    <t>Volcanitas Lisa (AZULES)</t>
  </si>
  <si>
    <t>Volcanitas RH (VERDE)</t>
  </si>
  <si>
    <t>Poliuretano</t>
  </si>
  <si>
    <t>OSB</t>
  </si>
  <si>
    <t>Largo</t>
  </si>
  <si>
    <t>Volcanita Lisa</t>
  </si>
  <si>
    <t>Alto</t>
  </si>
  <si>
    <t>Volcanita RH</t>
  </si>
  <si>
    <t>Total Paredes</t>
  </si>
  <si>
    <t>Total Volcanitas</t>
  </si>
  <si>
    <t>Ancho</t>
  </si>
  <si>
    <t>Nota Referencia cielo</t>
  </si>
  <si>
    <t>Volcanita Cielo Contendor 20 Pies</t>
  </si>
  <si>
    <t>Total Puertas</t>
  </si>
  <si>
    <t>Volcanita Cielo Contendor 40 Pies</t>
  </si>
  <si>
    <t xml:space="preserve">Largo </t>
  </si>
  <si>
    <t>Total Techo</t>
  </si>
  <si>
    <t>Total Poliuretano</t>
  </si>
  <si>
    <t>Total Volcanita Lisa</t>
  </si>
  <si>
    <t>Uso</t>
  </si>
  <si>
    <t>Siempre</t>
  </si>
  <si>
    <t>Si es en Región</t>
  </si>
  <si>
    <t>Conexión de Gas y Encimera</t>
  </si>
  <si>
    <t>Depende</t>
  </si>
  <si>
    <t>Si es de Segundo Piso</t>
  </si>
  <si>
    <t>Recuadro de Valores Proyecto</t>
  </si>
  <si>
    <t>Total Proyecto</t>
  </si>
  <si>
    <t>P. Unitario</t>
  </si>
  <si>
    <t>P. Total</t>
  </si>
  <si>
    <t>Primero: Seleccionar en "1 - Modelo" lo que vamos a traspasar.</t>
  </si>
  <si>
    <t>Segundo: en la hoja "2 - Traspasar Modelo" en donde aparecen automatico lo que vamos a traspasar, Copiar juntos (Categorias e Item) y luego Copiar (Cantidades) a hoja "1 - Cotizador Personalizado".</t>
  </si>
  <si>
    <t>1 - Seleccionar "Categorias y Item" Juntos</t>
  </si>
  <si>
    <t>2 - Seleccionar y copiar cantidades</t>
  </si>
  <si>
    <t>Costos Totales</t>
  </si>
  <si>
    <t>Buscador</t>
  </si>
  <si>
    <t>Sub - Totales</t>
  </si>
  <si>
    <t>¿Donde esta?</t>
  </si>
  <si>
    <t>IVA</t>
  </si>
  <si>
    <t>Valor</t>
  </si>
  <si>
    <t>adicional x valor</t>
  </si>
  <si>
    <t>Union T Ppr 20Mm</t>
  </si>
  <si>
    <t>Tabla Costos Proyecto</t>
  </si>
  <si>
    <t>Tabla Comisiones</t>
  </si>
  <si>
    <t>Tabla Ganancias</t>
  </si>
  <si>
    <t>Margen</t>
  </si>
  <si>
    <t>Comision Vendedor</t>
  </si>
  <si>
    <t>Costo + Margen</t>
  </si>
  <si>
    <t>Comision Supervisor</t>
  </si>
  <si>
    <t>Ganancia Real</t>
  </si>
  <si>
    <t>Total Comisiones</t>
  </si>
  <si>
    <t>Sub Totales</t>
  </si>
  <si>
    <t>Cliente :</t>
  </si>
  <si>
    <t>Telefono :</t>
  </si>
  <si>
    <t>Dirección :</t>
  </si>
  <si>
    <t>*Tiempo de entrega entre 35 a 45 dias habiles.</t>
  </si>
  <si>
    <t>Suma de Cantidad</t>
  </si>
  <si>
    <t>Total</t>
  </si>
  <si>
    <t>(en blanco)</t>
  </si>
  <si>
    <t>Nombre Cliente:</t>
  </si>
  <si>
    <t>Carga y descarga 4 contenedores en Alhue</t>
  </si>
  <si>
    <t>Tina de baño Atenea 140x70x36 cm</t>
  </si>
  <si>
    <t>nueva bernardo 06022026</t>
  </si>
  <si>
    <t>Ventana Fija 50x100</t>
  </si>
  <si>
    <t>Ventana Proyectante 50x160</t>
  </si>
  <si>
    <t>Ventana Corredera 200x230</t>
  </si>
  <si>
    <t>Ventana Fija 50x160</t>
  </si>
  <si>
    <t>Ventana Proyectante 30x160</t>
  </si>
  <si>
    <t>Ventana Fija 70x200</t>
  </si>
  <si>
    <t>Ventana Fija 70x160</t>
  </si>
  <si>
    <t>Ventana Corredera termopanel 150x50</t>
  </si>
  <si>
    <t>Ventana Fija 150x50</t>
  </si>
  <si>
    <t>Ventana Proyectante termopanel 100x50</t>
  </si>
  <si>
    <t>Ventanal aluminio Corredera aluminio  linea 25 200x200</t>
  </si>
  <si>
    <t>Ventanal aluminio Corredera aluminio  linea 25 con chapa 200x200</t>
  </si>
  <si>
    <t>Ventana aluminio Paño fijo línea 42 30x160</t>
  </si>
  <si>
    <t xml:space="preserve">isla  100X160X90 + muebles base </t>
  </si>
  <si>
    <t>Fisitell Arriendo / Trato</t>
  </si>
  <si>
    <t>NUEVA</t>
  </si>
  <si>
    <t>Ventana Aluminio Corredera 150x150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</si>
</sst>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lasassy Caps"/>
    </font>
    <font>
      <sz val="11"/>
      <color theme="1"/>
      <name val="Amasis MT Pro"/>
      <family val="1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2" fillId="3" borderId="1" xfId="0" applyFont="1" applyFill="1" applyBorder="1"/>
    <xf numFmtId="42" fontId="2" fillId="3" borderId="1" xfId="1" applyFont="1" applyFill="1" applyBorder="1"/>
    <xf numFmtId="0" fontId="2" fillId="3" borderId="3" xfId="0" applyFont="1" applyFill="1" applyBorder="1"/>
    <xf numFmtId="42" fontId="0" fillId="0" borderId="1" xfId="1" applyFont="1" applyBorder="1"/>
    <xf numFmtId="42" fontId="0" fillId="0" borderId="1" xfId="1" applyFont="1" applyFill="1" applyBorder="1"/>
    <xf numFmtId="0" fontId="0" fillId="0" borderId="4" xfId="0" applyBorder="1"/>
    <xf numFmtId="0" fontId="2" fillId="0" borderId="1" xfId="0" applyFont="1" applyBorder="1"/>
    <xf numFmtId="0" fontId="0" fillId="0" borderId="5" xfId="0" applyBorder="1"/>
    <xf numFmtId="42" fontId="0" fillId="0" borderId="0" xfId="1" applyFont="1" applyAlignment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42" fontId="2" fillId="2" borderId="1" xfId="1" applyFont="1" applyFill="1" applyBorder="1"/>
    <xf numFmtId="42" fontId="0" fillId="0" borderId="0" xfId="1" applyFont="1"/>
    <xf numFmtId="42" fontId="0" fillId="0" borderId="0" xfId="1" applyFont="1" applyBorder="1"/>
    <xf numFmtId="42" fontId="0" fillId="0" borderId="11" xfId="1" applyFont="1" applyBorder="1"/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2" fillId="0" borderId="15" xfId="0" applyFont="1" applyBorder="1"/>
    <xf numFmtId="0" fontId="2" fillId="0" borderId="7" xfId="0" applyFont="1" applyBorder="1"/>
    <xf numFmtId="0" fontId="2" fillId="0" borderId="12" xfId="0" applyFont="1" applyBorder="1"/>
    <xf numFmtId="42" fontId="2" fillId="0" borderId="14" xfId="1" applyFont="1" applyBorder="1"/>
    <xf numFmtId="0" fontId="0" fillId="0" borderId="8" xfId="0" applyBorder="1"/>
    <xf numFmtId="42" fontId="0" fillId="0" borderId="10" xfId="1" applyFont="1" applyBorder="1"/>
    <xf numFmtId="9" fontId="2" fillId="2" borderId="10" xfId="2" applyFont="1" applyFill="1" applyBorder="1"/>
    <xf numFmtId="0" fontId="0" fillId="0" borderId="3" xfId="0" applyBorder="1"/>
    <xf numFmtId="0" fontId="0" fillId="4" borderId="1" xfId="0" applyFill="1" applyBorder="1"/>
    <xf numFmtId="0" fontId="9" fillId="0" borderId="1" xfId="0" applyFont="1" applyBorder="1"/>
    <xf numFmtId="42" fontId="0" fillId="0" borderId="0" xfId="0" applyNumberFormat="1"/>
    <xf numFmtId="0" fontId="2" fillId="0" borderId="0" xfId="0" applyFont="1"/>
    <xf numFmtId="0" fontId="2" fillId="0" borderId="8" xfId="0" applyFont="1" applyBorder="1"/>
    <xf numFmtId="42" fontId="0" fillId="0" borderId="23" xfId="1" applyFont="1" applyBorder="1"/>
    <xf numFmtId="0" fontId="0" fillId="0" borderId="0" xfId="0" pivotButton="1"/>
    <xf numFmtId="0" fontId="2" fillId="0" borderId="16" xfId="0" applyFont="1" applyBorder="1"/>
    <xf numFmtId="0" fontId="0" fillId="0" borderId="17" xfId="0" applyBorder="1" applyAlignment="1">
      <alignment horizontal="center"/>
    </xf>
    <xf numFmtId="42" fontId="0" fillId="0" borderId="14" xfId="0" applyNumberFormat="1" applyBorder="1"/>
    <xf numFmtId="42" fontId="0" fillId="0" borderId="11" xfId="0" applyNumberFormat="1" applyBorder="1"/>
    <xf numFmtId="42" fontId="0" fillId="0" borderId="23" xfId="0" applyNumberFormat="1" applyBorder="1"/>
    <xf numFmtId="42" fontId="0" fillId="0" borderId="10" xfId="0" applyNumberFormat="1" applyBorder="1"/>
    <xf numFmtId="42" fontId="2" fillId="0" borderId="10" xfId="0" applyNumberFormat="1" applyFont="1" applyBorder="1"/>
    <xf numFmtId="0" fontId="5" fillId="0" borderId="20" xfId="0" applyFont="1" applyBorder="1"/>
    <xf numFmtId="0" fontId="10" fillId="2" borderId="16" xfId="0" applyFont="1" applyFill="1" applyBorder="1"/>
    <xf numFmtId="42" fontId="10" fillId="2" borderId="17" xfId="1" applyFont="1" applyFill="1" applyBorder="1"/>
    <xf numFmtId="165" fontId="2" fillId="2" borderId="2" xfId="2" applyNumberFormat="1" applyFont="1" applyFill="1" applyBorder="1"/>
    <xf numFmtId="165" fontId="2" fillId="2" borderId="1" xfId="2" applyNumberFormat="1" applyFont="1" applyFill="1" applyBorder="1"/>
    <xf numFmtId="0" fontId="4" fillId="0" borderId="0" xfId="0" applyFont="1"/>
    <xf numFmtId="42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0" fillId="0" borderId="23" xfId="0" applyBorder="1"/>
    <xf numFmtId="0" fontId="7" fillId="5" borderId="16" xfId="0" applyFont="1" applyFill="1" applyBorder="1"/>
    <xf numFmtId="42" fontId="7" fillId="5" borderId="17" xfId="1" applyFont="1" applyFill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42" fontId="0" fillId="0" borderId="23" xfId="1" applyFont="1" applyFill="1" applyBorder="1"/>
    <xf numFmtId="0" fontId="0" fillId="0" borderId="13" xfId="0" applyBorder="1"/>
    <xf numFmtId="41" fontId="0" fillId="0" borderId="14" xfId="0" applyNumberFormat="1" applyBorder="1"/>
    <xf numFmtId="41" fontId="0" fillId="0" borderId="11" xfId="0" applyNumberFormat="1" applyBorder="1"/>
    <xf numFmtId="41" fontId="0" fillId="0" borderId="23" xfId="0" applyNumberFormat="1" applyBorder="1"/>
    <xf numFmtId="0" fontId="3" fillId="0" borderId="0" xfId="0" applyFont="1"/>
    <xf numFmtId="0" fontId="0" fillId="0" borderId="24" xfId="0" applyBorder="1"/>
    <xf numFmtId="0" fontId="0" fillId="8" borderId="25" xfId="0" applyFill="1" applyBorder="1"/>
    <xf numFmtId="0" fontId="0" fillId="8" borderId="26" xfId="0" applyFill="1" applyBorder="1"/>
    <xf numFmtId="0" fontId="0" fillId="7" borderId="25" xfId="0" applyFill="1" applyBorder="1"/>
    <xf numFmtId="0" fontId="0" fillId="6" borderId="25" xfId="0" applyFill="1" applyBorder="1"/>
    <xf numFmtId="41" fontId="2" fillId="6" borderId="26" xfId="3" applyFont="1" applyFill="1" applyBorder="1"/>
    <xf numFmtId="41" fontId="2" fillId="7" borderId="26" xfId="3" applyFont="1" applyFill="1" applyBorder="1"/>
    <xf numFmtId="0" fontId="0" fillId="9" borderId="25" xfId="0" applyFill="1" applyBorder="1"/>
    <xf numFmtId="0" fontId="0" fillId="4" borderId="25" xfId="0" applyFill="1" applyBorder="1"/>
    <xf numFmtId="41" fontId="2" fillId="4" borderId="26" xfId="3" applyFont="1" applyFill="1" applyBorder="1"/>
    <xf numFmtId="41" fontId="2" fillId="9" borderId="26" xfId="0" applyNumberFormat="1" applyFont="1" applyFill="1" applyBorder="1"/>
    <xf numFmtId="0" fontId="0" fillId="0" borderId="22" xfId="0" applyBorder="1"/>
    <xf numFmtId="0" fontId="0" fillId="0" borderId="19" xfId="0" applyBorder="1"/>
    <xf numFmtId="0" fontId="0" fillId="0" borderId="28" xfId="0" applyBorder="1"/>
    <xf numFmtId="42" fontId="0" fillId="0" borderId="0" xfId="1" applyFont="1" applyFill="1" applyBorder="1"/>
    <xf numFmtId="41" fontId="2" fillId="8" borderId="26" xfId="3" applyFont="1" applyFill="1" applyBorder="1"/>
    <xf numFmtId="0" fontId="13" fillId="0" borderId="0" xfId="0" applyFont="1"/>
    <xf numFmtId="0" fontId="14" fillId="0" borderId="0" xfId="0" applyFont="1"/>
    <xf numFmtId="0" fontId="6" fillId="10" borderId="0" xfId="0" applyFont="1" applyFill="1" applyAlignment="1">
      <alignment horizontal="center"/>
    </xf>
    <xf numFmtId="42" fontId="7" fillId="10" borderId="17" xfId="1" applyFont="1" applyFill="1" applyBorder="1"/>
    <xf numFmtId="0" fontId="0" fillId="0" borderId="19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10" borderId="1" xfId="0" applyFont="1" applyFill="1" applyBorder="1" applyAlignment="1">
      <alignment horizontal="center"/>
    </xf>
    <xf numFmtId="42" fontId="7" fillId="10" borderId="20" xfId="1" applyFont="1" applyFill="1" applyBorder="1"/>
    <xf numFmtId="0" fontId="6" fillId="10" borderId="9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5" fillId="0" borderId="0" xfId="0" applyFont="1"/>
    <xf numFmtId="0" fontId="6" fillId="10" borderId="13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6" xfId="0" applyBorder="1"/>
    <xf numFmtId="42" fontId="0" fillId="0" borderId="1" xfId="1" applyFont="1" applyFill="1" applyBorder="1" applyAlignment="1"/>
    <xf numFmtId="42" fontId="0" fillId="0" borderId="1" xfId="0" applyNumberFormat="1" applyBorder="1"/>
    <xf numFmtId="0" fontId="3" fillId="0" borderId="1" xfId="0" applyFont="1" applyBorder="1"/>
    <xf numFmtId="0" fontId="0" fillId="0" borderId="27" xfId="0" applyBorder="1"/>
    <xf numFmtId="42" fontId="0" fillId="0" borderId="3" xfId="1" applyFont="1" applyFill="1" applyBorder="1"/>
    <xf numFmtId="0" fontId="0" fillId="0" borderId="6" xfId="0" applyBorder="1"/>
    <xf numFmtId="0" fontId="0" fillId="0" borderId="29" xfId="0" applyBorder="1"/>
    <xf numFmtId="42" fontId="0" fillId="0" borderId="1" xfId="1" applyFont="1" applyBorder="1" applyAlignment="1"/>
    <xf numFmtId="42" fontId="0" fillId="2" borderId="1" xfId="1" applyFont="1" applyFill="1" applyBorder="1"/>
    <xf numFmtId="42" fontId="0" fillId="0" borderId="2" xfId="0" applyNumberFormat="1" applyBorder="1"/>
    <xf numFmtId="42" fontId="0" fillId="0" borderId="3" xfId="0" applyNumberFormat="1" applyBorder="1"/>
    <xf numFmtId="42" fontId="0" fillId="0" borderId="13" xfId="0" applyNumberFormat="1" applyBorder="1"/>
    <xf numFmtId="42" fontId="0" fillId="0" borderId="15" xfId="0" applyNumberFormat="1" applyBorder="1"/>
    <xf numFmtId="42" fontId="0" fillId="0" borderId="7" xfId="0" applyNumberFormat="1" applyBorder="1"/>
    <xf numFmtId="42" fontId="0" fillId="0" borderId="12" xfId="0" applyNumberFormat="1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42" fontId="7" fillId="5" borderId="21" xfId="1" applyFont="1" applyFill="1" applyBorder="1"/>
    <xf numFmtId="0" fontId="0" fillId="2" borderId="8" xfId="0" applyFill="1" applyBorder="1"/>
    <xf numFmtId="0" fontId="8" fillId="2" borderId="10" xfId="0" applyFont="1" applyFill="1" applyBorder="1"/>
    <xf numFmtId="0" fontId="9" fillId="2" borderId="1" xfId="0" applyFont="1" applyFill="1" applyBorder="1"/>
    <xf numFmtId="0" fontId="0" fillId="0" borderId="17" xfId="0" applyBorder="1" applyAlignment="1">
      <alignment horizontal="left"/>
    </xf>
    <xf numFmtId="0" fontId="0" fillId="0" borderId="30" xfId="0" applyBorder="1"/>
    <xf numFmtId="0" fontId="7" fillId="11" borderId="8" xfId="0" applyFont="1" applyFill="1" applyBorder="1"/>
    <xf numFmtId="42" fontId="7" fillId="11" borderId="10" xfId="1" applyFont="1" applyFill="1" applyBorder="1"/>
    <xf numFmtId="0" fontId="6" fillId="10" borderId="8" xfId="0" applyFont="1" applyFill="1" applyBorder="1" applyAlignment="1">
      <alignment horizontal="left"/>
    </xf>
    <xf numFmtId="0" fontId="7" fillId="11" borderId="2" xfId="0" applyFont="1" applyFill="1" applyBorder="1"/>
    <xf numFmtId="0" fontId="0" fillId="2" borderId="0" xfId="0" applyFill="1" applyAlignment="1">
      <alignment horizontal="center"/>
    </xf>
    <xf numFmtId="42" fontId="0" fillId="0" borderId="17" xfId="1" applyFont="1" applyBorder="1" applyAlignment="1">
      <alignment horizontal="left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3" fillId="0" borderId="4" xfId="0" applyFont="1" applyBorder="1"/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7" fillId="5" borderId="2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9" xfId="0" applyBorder="1" applyAlignment="1">
      <alignment horizontal="left"/>
    </xf>
    <xf numFmtId="0" fontId="7" fillId="10" borderId="20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10" borderId="18" xfId="0" applyFont="1" applyFill="1" applyBorder="1" applyAlignment="1">
      <alignment horizontal="left"/>
    </xf>
    <xf numFmtId="0" fontId="0" fillId="0" borderId="0" xfId="0" applyBorder="1"/>
  </cellXfs>
  <cellStyles count="6">
    <cellStyle name="Millares [0]" xfId="3" builtinId="6"/>
    <cellStyle name="Millares 2" xfId="5" xr:uid="{078F3E19-E0FA-4402-B4D5-D1AA55162048}"/>
    <cellStyle name="Moneda [0]" xfId="1" builtinId="7"/>
    <cellStyle name="Moneda [0] 2" xfId="4" xr:uid="{CF49D16E-DC36-48C9-B4B0-AEF7B0A71648}"/>
    <cellStyle name="Normal" xfId="0" builtinId="0"/>
    <cellStyle name="Porcentaje" xfId="2" builtinId="5"/>
  </cellStyles>
  <dxfs count="19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ont>
        <b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 &quot;$&quot;* #,##0_ ;_ &quot;$&quot;* \-#,##0_ ;_ &quot;$&quot;* &quot;-&quot;_ ;_ @_ 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2" defaultTableStyle="TableStyleMedium2" defaultPivotStyle="PivotStyleLight16">
    <tableStyle name="Estilo de tabla dinámica 1" table="0" count="1" xr9:uid="{F9BAC8F0-BBB0-43B1-A801-BCD1EC4C857A}">
      <tableStyleElement type="wholeTable" dxfId="198"/>
    </tableStyle>
    <tableStyle name="Estilo de tabla dinámica 2" table="0" count="1" xr9:uid="{F4E79382-BF6D-4C21-A2FC-7D933C0F862B}">
      <tableStyleElement type="firstColumnStripe" dxfId="197"/>
    </tableStyle>
  </tableStyles>
  <colors>
    <mruColors>
      <color rgb="FFD2D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</xdr:colOff>
      <xdr:row>0</xdr:row>
      <xdr:rowOff>106680</xdr:rowOff>
    </xdr:from>
    <xdr:to>
      <xdr:col>1</xdr:col>
      <xdr:colOff>1851660</xdr:colOff>
      <xdr:row>3</xdr:row>
      <xdr:rowOff>64770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BF1B857-CBDC-05E7-B001-3BEFF3CD7145}"/>
            </a:ext>
          </a:extLst>
        </xdr:cNvPr>
        <xdr:cNvSpPr txBox="1"/>
      </xdr:nvSpPr>
      <xdr:spPr>
        <a:xfrm>
          <a:off x="93345" y="106680"/>
          <a:ext cx="2535555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Modelo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13</xdr:col>
      <xdr:colOff>274320</xdr:colOff>
      <xdr:row>1</xdr:row>
      <xdr:rowOff>38100</xdr:rowOff>
    </xdr:from>
    <xdr:to>
      <xdr:col>17</xdr:col>
      <xdr:colOff>236220</xdr:colOff>
      <xdr:row>51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los">
              <a:extLst>
                <a:ext uri="{FF2B5EF4-FFF2-40B4-BE49-F238E27FC236}">
                  <a16:creationId xmlns:a16="http://schemas.microsoft.com/office/drawing/2014/main" id="{F5A0D9E9-7E79-BB7E-8484-0A346AABA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8680" y="220980"/>
              <a:ext cx="2918460" cy="880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19041</xdr:colOff>
      <xdr:row>0</xdr:row>
      <xdr:rowOff>78104</xdr:rowOff>
    </xdr:from>
    <xdr:to>
      <xdr:col>1</xdr:col>
      <xdr:colOff>4564380</xdr:colOff>
      <xdr:row>3</xdr:row>
      <xdr:rowOff>83819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63141D5-0D4C-43E8-9820-8E980FB3E6E1}"/>
            </a:ext>
          </a:extLst>
        </xdr:cNvPr>
        <xdr:cNvSpPr txBox="1"/>
      </xdr:nvSpPr>
      <xdr:spPr>
        <a:xfrm>
          <a:off x="803901" y="78104"/>
          <a:ext cx="5322579" cy="554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Traspaso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Modelo a Presonalizado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0</xdr:row>
      <xdr:rowOff>129540</xdr:rowOff>
    </xdr:from>
    <xdr:to>
      <xdr:col>2</xdr:col>
      <xdr:colOff>2543175</xdr:colOff>
      <xdr:row>3</xdr:row>
      <xdr:rowOff>93345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8FD23D6-7818-4DB6-8698-7F6964384E56}"/>
            </a:ext>
          </a:extLst>
        </xdr:cNvPr>
        <xdr:cNvSpPr txBox="1"/>
      </xdr:nvSpPr>
      <xdr:spPr>
        <a:xfrm>
          <a:off x="693420" y="525780"/>
          <a:ext cx="350329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Personalizado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0</xdr:col>
      <xdr:colOff>0</xdr:colOff>
      <xdr:row>2</xdr:row>
      <xdr:rowOff>180975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AA7DC0D-11AE-47BF-ADA8-072ACB871A96}"/>
            </a:ext>
          </a:extLst>
        </xdr:cNvPr>
        <xdr:cNvSpPr txBox="1"/>
      </xdr:nvSpPr>
      <xdr:spPr>
        <a:xfrm>
          <a:off x="3840481" y="99060"/>
          <a:ext cx="370332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C- Prediseñado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678181</xdr:colOff>
      <xdr:row>0</xdr:row>
      <xdr:rowOff>53340</xdr:rowOff>
    </xdr:from>
    <xdr:to>
      <xdr:col>3</xdr:col>
      <xdr:colOff>449580</xdr:colOff>
      <xdr:row>2</xdr:row>
      <xdr:rowOff>135255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E25473F-8502-4EC2-B052-6FB94FDA3F5B}"/>
            </a:ext>
          </a:extLst>
        </xdr:cNvPr>
        <xdr:cNvSpPr txBox="1"/>
      </xdr:nvSpPr>
      <xdr:spPr>
        <a:xfrm>
          <a:off x="975361" y="53340"/>
          <a:ext cx="3002279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 Proyecto</a:t>
          </a:r>
          <a:endParaRPr lang="es-CL" sz="2500" b="0" cap="none" spc="0" baseline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339090</xdr:colOff>
      <xdr:row>0</xdr:row>
      <xdr:rowOff>0</xdr:rowOff>
    </xdr:from>
    <xdr:to>
      <xdr:col>8</xdr:col>
      <xdr:colOff>133350</xdr:colOff>
      <xdr:row>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lte.">
              <a:extLst>
                <a:ext uri="{FF2B5EF4-FFF2-40B4-BE49-F238E27FC236}">
                  <a16:creationId xmlns:a16="http://schemas.microsoft.com/office/drawing/2014/main" id="{DEB53A61-FA47-42FC-BD34-4872DE3438E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lte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7115" y="160020"/>
              <a:ext cx="2162175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0</xdr:row>
      <xdr:rowOff>83820</xdr:rowOff>
    </xdr:from>
    <xdr:to>
      <xdr:col>1</xdr:col>
      <xdr:colOff>2049780</xdr:colOff>
      <xdr:row>4</xdr:row>
      <xdr:rowOff>107374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B20A47-ECEA-FA70-19A1-D12938560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83820"/>
          <a:ext cx="2987040" cy="7703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11431</xdr:rowOff>
    </xdr:from>
    <xdr:to>
      <xdr:col>1</xdr:col>
      <xdr:colOff>1836419</xdr:colOff>
      <xdr:row>3</xdr:row>
      <xdr:rowOff>78019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BC13B2-CA81-45B7-B3D0-CF69EEB4A9B6}"/>
            </a:ext>
          </a:extLst>
        </xdr:cNvPr>
        <xdr:cNvSpPr txBox="1"/>
      </xdr:nvSpPr>
      <xdr:spPr>
        <a:xfrm>
          <a:off x="68580" y="194311"/>
          <a:ext cx="2491739" cy="44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Listado Compras</a:t>
          </a: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12</xdr:col>
      <xdr:colOff>638174</xdr:colOff>
      <xdr:row>0</xdr:row>
      <xdr:rowOff>40005</xdr:rowOff>
    </xdr:from>
    <xdr:to>
      <xdr:col>15</xdr:col>
      <xdr:colOff>666749</xdr:colOff>
      <xdr:row>7</xdr:row>
      <xdr:rowOff>22859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ompras.">
              <a:extLst>
                <a:ext uri="{FF2B5EF4-FFF2-40B4-BE49-F238E27FC236}">
                  <a16:creationId xmlns:a16="http://schemas.microsoft.com/office/drawing/2014/main" id="{5B24A0F2-11EC-C519-277B-D1B93539D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ompras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9394" y="220980"/>
              <a:ext cx="2406015" cy="128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6.686157870368" createdVersion="8" refreshedVersion="8" minRefreshableVersion="3" recordCount="157" xr:uid="{D18BD873-F512-4905-9DBE-B4E3FA43D0EB}">
  <cacheSource type="worksheet">
    <worksheetSource ref="B13:I170" sheet="1 - Cotizador Personalizado"/>
  </cacheSource>
  <cacheFields count="8">
    <cacheField name="Categorias" numFmtId="0">
      <sharedItems containsBlank="1" count="21">
        <s v="Aislación"/>
        <s v="Baño"/>
        <s v="Cocina"/>
        <s v="Container"/>
        <s v="Electricidad"/>
        <s v=""/>
        <s v="Grifería"/>
        <s v="Iluminación"/>
        <s v="Pintura"/>
        <s v="Piso"/>
        <s v="Puerta"/>
        <s v="Sanitario"/>
        <s v="Tabiquería"/>
        <s v="Varios"/>
        <m/>
        <s v="Ventana" u="1"/>
        <s v="Fachada" u="1"/>
        <s v="Ilimunación" u="1"/>
        <s v="Unión" u="1"/>
        <s v="Adicionales" u="1"/>
        <s v="Climatización" u="1"/>
      </sharedItems>
    </cacheField>
    <cacheField name="Item" numFmtId="0">
      <sharedItems containsBlank="1" count="147">
        <s v="Poliuretano Proyectado 30 m2"/>
        <s v="Angulo Aluminio 10x10"/>
        <s v="Barra Pasamano Muro 50cm"/>
        <s v="Columna de Ducha Baño mono mando"/>
        <s v="Espejo Redondo Retroiluminado 60 Diametro"/>
        <s v="Extractor Aire baño 4&quot;"/>
        <s v="Fragüe cerámico 1 kg"/>
        <s v="Mampara ajustable 6mm 135 -150x185cm"/>
        <s v="Mueble Vanitorio 71 cm Fiumo Vessanti"/>
        <s v="Porcelanato color Haya WF61515 15x60 cm"/>
        <s v="Receptáculo 130x80"/>
        <s v="Tinta adheviso con pasta AC 25kg"/>
        <s v="Wc One Pice"/>
        <s v="Lavaplatos Embutido "/>
        <s v="Llave gas encimera"/>
        <s v="Container Maritimo  HC 12 x 2,44 x 2,89 - 40 Pie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m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Llaves Monomando - Lava Manos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Bisagras"/>
        <s v="Chapa Puerta"/>
        <s v="Marco Puerta"/>
        <s v="Puerta Enchapada Capri"/>
        <s v="Codo 20Mm Ppr"/>
        <s v="Coplas 20Mm Ppr"/>
        <s v="Desagues Ducha"/>
        <s v="Desagues Lavaplatos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Poliuretano Proyectado 30 pies" u="1"/>
        <s v="Electricidad Maestranza 40 pies" u="1"/>
        <s v="Mano de Obra 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Ventana Proyec 50 X 100 Termopanel Pvc - Madera/ Nogla/ Caoba/ Blanco 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Poliuretano Proyectado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Vinilit Electrico" u="1"/>
        <s v="Smart Panel" u="1"/>
        <s v="Pintura Esmalte Al Agua Color Blanco" u="1"/>
        <s v="Canal 80 x 40 2mm x 6 metros" u="1"/>
        <s v="Refuerzos Osb 9Mm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Unión En Terreno por Contenedor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Ducha Telefono" u="1"/>
        <s v="Aire acondicionado 9000 BTU" u="1"/>
      </sharedItems>
    </cacheField>
    <cacheField name="Unidad" numFmtId="0">
      <sharedItems count="8">
        <s v="Pack"/>
        <s v="Unidad"/>
        <s v="m2"/>
        <s v="Paquete"/>
        <s v=""/>
        <s v="Galon"/>
        <s v="Tineta"/>
        <s v="General"/>
      </sharedItems>
    </cacheField>
    <cacheField name="Cantidad" numFmtId="0">
      <sharedItems containsString="0" containsBlank="1" containsNumber="1" minValue="0" maxValue="170" count="32">
        <n v="1"/>
        <n v="4"/>
        <n v="2"/>
        <n v="9"/>
        <n v="100"/>
        <n v="3"/>
        <n v="35"/>
        <n v="90"/>
        <n v="12"/>
        <m/>
        <n v="5"/>
        <n v="40"/>
        <n v="7"/>
        <n v="8"/>
        <n v="30"/>
        <n v="32"/>
        <n v="20"/>
        <n v="47"/>
        <n v="6"/>
        <n v="10"/>
        <n v="11" u="1"/>
        <n v="170" u="1"/>
        <n v="150" u="1"/>
        <n v="70" u="1"/>
        <n v="60" u="1"/>
        <n v="22" u="1"/>
        <n v="19" u="1"/>
        <n v="0" u="1"/>
        <n v="45" u="1"/>
        <n v="1.5" u="1"/>
        <n v="16" u="1"/>
        <n v="18" u="1"/>
      </sharedItems>
    </cacheField>
    <cacheField name="P. Unitario" numFmtId="42">
      <sharedItems containsMixedTypes="1" containsNumber="1" minValue="112" maxValue="2000000" count="107">
        <n v="768000"/>
        <n v="4700"/>
        <n v="9000"/>
        <n v="47000"/>
        <n v="50000"/>
        <n v="15957.983193277312"/>
        <n v="1840.3361344537816"/>
        <n v="179048.82352941178"/>
        <n v="137000"/>
        <n v="8394.957983193277"/>
        <n v="159000"/>
        <n v="17638.655462184874"/>
        <n v="120000"/>
        <n v="82345"/>
        <n v="22500"/>
        <n v="1950000"/>
        <n v="112"/>
        <n v="3500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s v=""/>
        <n v="11000"/>
        <n v="1300"/>
        <n v="5000"/>
        <n v="6000"/>
        <n v="10084"/>
        <n v="13500"/>
        <n v="680"/>
        <n v="15000"/>
        <n v="9235.2941176470595"/>
        <n v="25000"/>
        <n v="54000"/>
        <n v="84000"/>
        <n v="90000"/>
        <n v="40000"/>
        <n v="12596"/>
        <n v="85000"/>
        <n v="1000"/>
        <n v="200"/>
        <n v="8000"/>
        <n v="1504"/>
        <n v="2345"/>
        <n v="335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250000"/>
        <n v="16000"/>
        <n v="200000"/>
        <n v="300000"/>
        <n v="1900000" u="1"/>
        <n v="635000" u="1"/>
        <n v="700000" u="1"/>
        <n v="127000" u="1"/>
        <n v="1550000" u="1"/>
        <n v="817600" u="1"/>
        <n v="1131887" u="1"/>
        <n v="694692" u="1"/>
        <n v="2000000" u="1"/>
        <n v="92400" u="1"/>
        <n v="25210" u="1"/>
        <n v="210000" u="1"/>
        <n v="81000" u="1"/>
        <n v="1600000" u="1"/>
        <n v="1750000" u="1"/>
        <n v="2990" u="1"/>
        <n v="26000" u="1"/>
        <n v="60000" u="1"/>
        <n v="13450" u="1"/>
        <n v="10000" u="1"/>
        <n v="4840" u="1"/>
        <n v="850000" u="1"/>
        <n v="1700000" u="1"/>
        <n v="453000" u="1"/>
        <n v="122000" u="1"/>
        <n v="234000" u="1"/>
        <n v="634692" u="1"/>
        <n v="750000" u="1"/>
        <n v="180000" u="1"/>
        <n v="1000000" u="1"/>
        <n v="30500" u="1"/>
        <n v="129990" u="1"/>
        <n v="30000" u="1"/>
        <n v="113436.97478991597" u="1"/>
        <n v="184865.5462184874" u="1"/>
      </sharedItems>
    </cacheField>
    <cacheField name="P. Total" numFmtId="42">
      <sharedItems containsMixedTypes="1" containsNumber="1" minValue="0" maxValue="8993600" count="156">
        <n v="768000"/>
        <n v="18800"/>
        <n v="9000"/>
        <n v="47000"/>
        <n v="50000"/>
        <n v="15957.983193277312"/>
        <n v="3680.6722689075632"/>
        <n v="179048.82352941178"/>
        <n v="137000"/>
        <n v="75554.621848739494"/>
        <n v="159000"/>
        <n v="17638.655462184874"/>
        <n v="120000"/>
        <n v="82345"/>
        <n v="22500"/>
        <n v="1950000"/>
        <n v="11200"/>
        <n v="3500"/>
        <n v="10500"/>
        <n v="9900"/>
        <n v="39315"/>
        <n v="52500"/>
        <n v="4521.0084033613448"/>
        <n v="28000"/>
        <n v="3000"/>
        <n v="1200"/>
        <n v="5600"/>
        <n v="33300"/>
        <n v="8000"/>
        <n v="4920"/>
        <n v="36000"/>
        <s v=""/>
        <n v="11000"/>
        <n v="1300"/>
        <n v="5000"/>
        <n v="6000"/>
        <n v="2000"/>
        <n v="10084"/>
        <n v="13500"/>
        <n v="10000"/>
        <n v="27200"/>
        <n v="15000"/>
        <n v="64647.058823529413"/>
        <n v="40000"/>
        <n v="25000"/>
        <n v="54000"/>
        <n v="84000"/>
        <n v="90000"/>
        <n v="377880"/>
        <n v="7000"/>
        <n v="22000"/>
        <n v="170000"/>
        <n v="400"/>
        <n v="3008"/>
        <n v="9380"/>
        <n v="335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150000"/>
        <n v="100000"/>
        <n v="250000"/>
        <n v="16000"/>
        <n v="200000"/>
        <n v="300000"/>
        <n v="1900000" u="1"/>
        <n v="635000" u="1"/>
        <n v="2100000" u="1"/>
        <n v="254000" u="1"/>
        <n v="1550000" u="1"/>
        <n v="8993600" u="1"/>
        <n v="1131887" u="1"/>
        <n v="2084076" u="1"/>
        <n v="7990000" u="1"/>
        <n v="80000" u="1"/>
        <n v="4000000" u="1"/>
        <n v="92400" u="1"/>
        <n v="50420" u="1"/>
        <n v="2520000" u="1"/>
        <n v="1504" u="1"/>
        <n v="9024" u="1"/>
        <n v="486000" u="1"/>
        <n v="164690" u="1"/>
        <n v="1600000" u="1"/>
        <n v="1750000" u="1"/>
        <n v="112" u="1"/>
        <n v="750000" u="1"/>
        <n v="6781.5126050420167" u="1"/>
        <n v="1600" u="1"/>
        <n v="16800" u="1"/>
        <n v="370" u="1"/>
        <n v="9840" u="1"/>
        <n v="242000" u="1"/>
        <n v="2600" u="1"/>
        <n v="14000" u="1"/>
        <n v="3400" u="1"/>
        <n v="179400" u="1"/>
        <n v="52000" u="1"/>
        <n v="285000" u="1"/>
        <n v="18470.588235294119" u="1"/>
        <n v="550000" u="1"/>
        <n v="0" u="1"/>
        <n v="60000" u="1"/>
        <n v="180000" u="1"/>
        <n v="25192" u="1"/>
        <n v="225000" u="1"/>
        <n v="44000" u="1"/>
        <n v="425000" u="1"/>
        <n v="4000" u="1"/>
        <n v="800" u="1"/>
        <n v="20000" u="1"/>
        <n v="20168" u="1"/>
        <n v="13450" u="1"/>
        <n v="29700" u="1"/>
        <n v="2400" u="1"/>
        <n v="38500" u="1"/>
        <n v="11060" u="1"/>
        <n v="873000" u="1"/>
        <n v="30000" u="1"/>
        <n v="315000" u="1"/>
        <n v="4840" u="1"/>
        <n v="12000" u="1"/>
        <n v="80700" u="1"/>
        <n v="7726.5" u="1"/>
        <n v="510120" u="1"/>
        <n v="2700000" u="1"/>
        <n v="850000" u="1"/>
        <n v="1700000" u="1"/>
        <n v="453000" u="1"/>
        <n v="122000" u="1"/>
        <n v="468000" u="1"/>
        <n v="127000" u="1"/>
        <n v="1389384" u="1"/>
        <n v="634692" u="1"/>
        <n v="7000000" u="1"/>
        <n v="129990" u="1"/>
        <n v="113436.97478991597" u="1"/>
        <n v="184865.5462184874" u="1"/>
        <n v="160000" u="1"/>
        <n v="75000" u="1"/>
        <n v="8750000" u="1"/>
        <n v="55411.764705882357" u="1"/>
        <n v="1000000" u="1"/>
        <n v="5250000" u="1"/>
      </sharedItems>
    </cacheField>
    <cacheField name="Hoja Impresión Clte." numFmtId="0">
      <sharedItems/>
    </cacheField>
    <cacheField name="Hoja Impresión Compras." numFmtId="0">
      <sharedItems count="3">
        <s v="No"/>
        <s v="Si"/>
        <s v=""/>
      </sharedItems>
    </cacheField>
  </cacheFields>
  <extLst>
    <ext xmlns:x14="http://schemas.microsoft.com/office/spreadsheetml/2009/9/main" uri="{725AE2AE-9491-48be-B2B4-4EB974FC3084}">
      <x14:pivotCacheDefinition pivotCacheId="17424160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9.535534374998" createdVersion="8" refreshedVersion="8" minRefreshableVersion="3" recordCount="286" xr:uid="{E0407E53-8DAE-4029-A1C5-D9E787172F76}">
  <cacheSource type="worksheet">
    <worksheetSource ref="B13:I1048576" sheet="1 - Cotizador Personalizado"/>
  </cacheSource>
  <cacheFields count="8">
    <cacheField name="Categorias" numFmtId="0">
      <sharedItems containsBlank="1" count="23">
        <s v="Adicionales"/>
        <s v="Baño"/>
        <s v="Aislación"/>
        <s v="Sanitario"/>
        <s v="Cocina"/>
        <s v="Container"/>
        <s v="Electricidad"/>
        <s v="Fachada"/>
        <s v="Grifería"/>
        <s v="Pintura"/>
        <s v="Piso"/>
        <m/>
        <s v="Puerta"/>
        <s v="Puertas"/>
        <s v="Tabiquería"/>
        <s v="Unión"/>
        <s v="Varios"/>
        <s v="Ventana"/>
        <s v="" u="1"/>
        <s v="Iluminación" u="1"/>
        <s v="Ilimunación" u="1"/>
        <s v="Sin_Categoria" u="1"/>
        <s v="Climatización" u="1"/>
      </sharedItems>
    </cacheField>
    <cacheField name="Item" numFmtId="0">
      <sharedItems containsBlank="1" count="191">
        <s v="Conexión de Lavadora"/>
        <s v="Closet de Tres cuerpos - Piso a techo"/>
        <s v="Walking Closet 200 largo x 2,40 alto x 0,50 de profundidad"/>
        <s v="Gabinete para Calefont 11 litros"/>
        <s v="Tinta adheviso con pasta AC 25kg"/>
        <s v="Poliuretano Proyectado"/>
        <s v="Desagues Ducha"/>
        <s v="Desgues Lavamos"/>
        <s v="Kit Instalacion Sanitario Wc"/>
        <s v="Porcelanato Blanco Brillante 60x60cm"/>
        <s v="Receptáculo 130x80"/>
        <s v="Volcanita Rh 12,5 "/>
        <s v="Wc One Pice"/>
        <s v="Mueble Vanitorio 71 cm Fiumo Vessanti"/>
        <s v="Angulo Aluminio 10x10"/>
        <s v="Columna de Ducha Baño mono mando"/>
        <s v="Espejo Redondo Retroiluminado 60 Diametro"/>
        <s v="Teflon"/>
        <s v="Desagues Lavaplatos"/>
        <s v="Mampara ajustable 6mm 135 -150x185cm"/>
        <s v="Lavaplatos Embutido "/>
        <s v="Mueble de cocina Cub Cuarzo 3,20 mts + Aereo+Encimera+horno+Campana+ Isla Cuarzo"/>
        <s v="Llave gas encimera"/>
        <s v="Container Maritimo  HC 12 x 2,44 x 2,89 - 40 Pies"/>
        <s v="Automatico 16 Amperes"/>
        <s v="Automatico 25 Amperes"/>
        <s v="Bipolar"/>
        <s v="Cableado 1,5 En Eva - Rollo 50m"/>
        <s v="Cableado 2,5 En Eva - Rollo 50m"/>
        <s v="Caja De Distribución"/>
        <s v="Codo 20Mm Ppr"/>
        <s v="Conectores Terminales 20Mm "/>
        <s v="Diferenciales De 25 O 32 Amperes"/>
        <s v="Enchufes Dobles"/>
        <s v="Enchufes Dobles Ip65"/>
        <s v="Fusible 25 Amperes"/>
        <s v="Interruptor 915"/>
        <s v="Interruptores 912"/>
        <s v="Luz Piloto"/>
        <s v="Regleta Para Tablero"/>
        <s v="Tablero Embutido Electrico 24 Puestos"/>
        <s v="Tapas Ciegas Modulares Blancas"/>
        <s v="Vinilit Electrico"/>
        <s v="Tubo Conduit 20Mm"/>
        <s v="Abrazaderas Metalicas"/>
        <s v="Iluminación Exterior"/>
        <s v="Iluminación Interior Led Fria 1800Wts"/>
        <s v="Enchufe Simple 16 ap"/>
        <s v="Caja estanca exterior"/>
        <s v="WPC Exterior"/>
        <s v="Angulo wpc Dark Grey 2,40 x 55 x 55 "/>
        <s v="Llaves Monomando - Lava Manos"/>
        <s v="Barniz Cerestain "/>
        <s v="Pintura Esmalte al Agua - Color a eleccion"/>
        <s v="Pintura Latex"/>
        <s v="Pintura Exterior Esmalte Sintetico - Color a Eleccion"/>
        <s v="Rodillos Brochas Cinta Maskin Diluyente"/>
        <s v="Pintura impermeable acrílica Sikafill"/>
        <s v="Piso Vinilico Tipo Click 6 Mm"/>
        <m/>
        <s v="Fragüe cerámico 1 kg"/>
        <s v="Chapa Puerta"/>
        <s v="Puerta Enchapada Capri"/>
        <s v="Bisagras"/>
        <s v="Puerta vidriada de 0,80 x 2,00 Termopanel PVC"/>
        <s v="Marco Puerta"/>
        <s v="Terminal HE 20Mm Ppr"/>
        <s v="Coplas 20Mm Ppr"/>
        <s v="Tuberia multicapa Fusion PN16 20mm 3Mts"/>
        <s v="Terminal Hi 20Mm Ppr"/>
        <s v="Union T Ppr 20Mm"/>
        <s v="Codo 20mm 90° PPR Koalition"/>
        <s v="Sifon Lavamanos"/>
        <s v="Canal Cielo 20X 25  0,4mm x 3m"/>
        <s v="Cornisas"/>
        <s v="Guardapolvos"/>
        <s v="Silicona Acrilica"/>
        <s v="Silicona Para Montaje"/>
        <s v="Tornillos General"/>
        <s v="Volcanita Lisa 10 mm"/>
        <s v="Cable  924"/>
        <s v="Vulcometal Estructura Muros 60 X 38 0,85 6 Mts"/>
        <s v="Interruptores 924"/>
        <s v="Perfil 80 X 40 X 2 Mm  6 metros"/>
        <s v="Refuerzos Osb 9Mm"/>
        <s v="Rollo Mig de 15kilo"/>
        <s v="Perfil 30 x 30 2mm 6 metros"/>
        <s v="Cielo Portante 40X18X10X0,5Mm 3Mts"/>
        <s v="Volcanita Cielo  10 Mm "/>
        <s v="Perfil Pletina  50 X 3Mm 6M"/>
        <s v="Perfil Rectangular Acero 100X150  X 3 mm 6m"/>
        <s v="Espuma Poliuretano"/>
        <s v="Unión En Terreno por Contenedor"/>
        <s v="Flete Contenedor"/>
        <s v="Fletes General"/>
        <s v="Camioneta Alan Bencina Tag Y Mantencion"/>
        <s v="Mano de Obra  40 Pies"/>
        <s v="Arriendo Taller De Construcción"/>
        <s v="Posventa General"/>
        <s v="Viatico personas en terreno"/>
        <s v="Conexión de Gas, Encimera y Calefont"/>
        <s v="Camioneta Miguel trabajo en terreno"/>
        <s v="Viatico estadia por personas"/>
        <s v="Limpiza entrega de proyecto"/>
        <s v="Firma contrato"/>
        <s v="Tuberia Sanitaria 110Mm 6Metros"/>
        <s v="Baño Quimico"/>
        <s v="Ventana Proyec 50 X 100 Termopanel Pvc - Madera/ Nogla/ Caoba/ Blanco / Negro / Gris"/>
        <s v="Ventana Corredera 1,50 X 1,50 Termopanel Pvc Bl/Fol Madera/ Negro"/>
        <s v="Ventana Termopanel PVC Fija 0,30 X 160"/>
        <s v="Tuberia Sanitaria 40Mm 3Metros"/>
        <s v="Montante Normal 60X38X6X0,5Mm  2,4 Mts" u="1"/>
        <s v="Canal U 62x20x0,50 mm 3m" u="1"/>
        <s v="Plancha fibrocemento lisa 5mm 120x240 cm" u="1"/>
        <s v="Perfil T para Marmolizado" u="1"/>
        <s v="Poliuretano Proyectado 30 m2" u="1"/>
        <s v="Barra Pasamano Muro 50cm" u="1"/>
        <s v="Extractor Aire baño 4&quot;" u="1"/>
        <s v="Porcelanato color Haya WF61515 15x60 cm" u="1"/>
        <s v="Caja 100 x 65 x 100 mm Estanca Blanco Mec" u="1"/>
        <s v="Cinta Aislante" u="1"/>
        <s v="Conectores Conicos 1,5" u="1"/>
        <s v="Conectores Conicos 2,5" u="1"/>
        <s v="Fruler 1,5" u="1"/>
        <s v="Fruler 2,5" u="1"/>
        <s v="Pintura Anticorrosivo (Tineta)" u="1"/>
        <s v="Tuberia Sanitaria 110Mm 3Metros" u="1"/>
        <s v="Cinta malla para yeso" u="1"/>
        <s v="Esquinero metalcom 30x30x 0,4mm 240" u="1"/>
        <s v="Masilla Base 25kg" u="1"/>
        <s v="Osb Perimetral 9X1200X2440Mm" u="1"/>
        <s v="Pasta De Muro" u="1"/>
        <s v="Sello Poliuretano Pate" u="1"/>
        <s v="Bono Cumplimiento meta" u="1"/>
        <s v="Electricidad Maestranza 40 m2" u="1"/>
        <s v="Grua Orquilla" u="1"/>
        <s v="Poliuretano Proyectado 30 pies" u="1"/>
        <s v="Electricidad Maestranza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Smart Panel" u="1"/>
        <s v="Pintura Esmalte Al Agua Color Blanco" u="1"/>
        <s v="Canal 80 x 40 2mm x 6 metros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Sin Categorias" u="1"/>
        <s v="Shower Rectangular Vidrio fijo 140x70x 2" u="1"/>
        <s v="Mueble De Cocina Cub Quarzo ( 2M ) + Aereo + Encimera Gas + Campana + Horno Empótrado" u="1"/>
        <s v="Tubo Campana corrugado aluminio 5&quot;" u="1"/>
        <s v="Llaves Monomando - Ducha" u="1"/>
        <s v="Flexibles" u="1"/>
        <s v="Ppr 20Mm Tuberia De Agua 3Metros" u="1"/>
        <s v="Cielo Perfil AT 20X 25X 0,4mm 3metros" u="1"/>
        <s v="Sello Poluritano Pate" u="1"/>
        <s v="Estructural C 2X3&quot; 085Mm 2,4" u="1"/>
        <s v="Ventana Proyec 0,50 X 0,50 Baño Termopanel Pvc - Madera/ Nogla/ Caoba/ Blanco" u="1"/>
        <s v="Ventana Proyec 50 X 100 Termopanel Pvc - Madera/ Nogla/ Caoba/ Blanco" u="1"/>
        <s v="Ventana Proyec 1,50 X 0,50 Termopanel Pvc Negro / Gris" u="1"/>
        <s v="Ducha Telefono" u="1"/>
        <s v="Aire acondicionado 9000 BTU" u="1"/>
        <s v="Closet de Cuatro cuerpos + cajoneras - Piso a techo 2,20x2,30" u="1"/>
      </sharedItems>
    </cacheField>
    <cacheField name="Unidad" numFmtId="0">
      <sharedItems containsBlank="1" count="10">
        <s v="Unidad"/>
        <s v="m2"/>
        <s v="Paquete"/>
        <s v="Galon"/>
        <s v="Tineta"/>
        <s v=""/>
        <s v="General"/>
        <m/>
        <s v="Pack" u="1"/>
        <s v="Metros" u="1"/>
      </sharedItems>
    </cacheField>
    <cacheField name="Cantidad" numFmtId="0">
      <sharedItems containsString="0" containsBlank="1" containsNumber="1" containsInteger="1" minValue="1" maxValue="250"/>
    </cacheField>
    <cacheField name="P. Unitario" numFmtId="0">
      <sharedItems containsBlank="1" containsMixedTypes="1" containsNumber="1" minValue="112" maxValue="2070000"/>
    </cacheField>
    <cacheField name="P. Total" numFmtId="0">
      <sharedItems containsBlank="1" containsMixedTypes="1" containsNumber="1" minValue="2232" maxValue="5850000"/>
    </cacheField>
    <cacheField name="Hoja Impresión Clte." numFmtId="0">
      <sharedItems containsBlank="1" count="4">
        <s v="Si"/>
        <s v="No"/>
        <s v=""/>
        <m/>
      </sharedItems>
    </cacheField>
    <cacheField name="Hoja Impresión Compras." numFmtId="0">
      <sharedItems containsBlank="1"/>
    </cacheField>
  </cacheFields>
  <extLst>
    <ext xmlns:x14="http://schemas.microsoft.com/office/spreadsheetml/2009/9/main" uri="{725AE2AE-9491-48be-B2B4-4EB974FC3084}">
      <x14:pivotCacheDefinition pivotCacheId="163627431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9.570875925929" createdVersion="8" refreshedVersion="8" minRefreshableVersion="3" recordCount="143" xr:uid="{686C028C-E063-498D-956F-A3D5EE847D3D}">
  <cacheSource type="worksheet">
    <worksheetSource ref="A1:G144" sheet="BD Modelo"/>
  </cacheSource>
  <cacheFields count="7">
    <cacheField name="Modelos" numFmtId="0">
      <sharedItems count="29">
        <s v="Baño 130x80"/>
        <s v="Baño Visita"/>
        <s v="Cocina "/>
        <s v="Electricidad 30 m2"/>
        <s v="Pintura 30 m2"/>
        <s v="Piso 120 m2"/>
        <s v="Piso 30 m2"/>
        <s v="Piso 45 m2"/>
        <s v="Piso 60 m2"/>
        <s v="Piso 90 m2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Puertas 30 m2"/>
        <s v="Tabiqueria 30 m2"/>
        <s v="Tabiqueria Habitación"/>
        <s v="Varios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</sharedItems>
    </cacheField>
    <cacheField name="Cantidad" numFmtId="0">
      <sharedItems containsSemiMixedTypes="0" containsString="0" containsNumber="1" containsInteger="1" minValue="1" maxValue="120" count="22">
        <n v="4"/>
        <n v="1"/>
        <n v="2"/>
        <n v="9"/>
        <n v="100"/>
        <n v="3"/>
        <n v="35"/>
        <n v="90"/>
        <n v="14"/>
        <n v="5"/>
        <n v="40"/>
        <n v="7"/>
        <n v="120"/>
        <n v="30"/>
        <n v="45"/>
        <n v="60"/>
        <n v="8"/>
        <n v="32"/>
        <n v="20"/>
        <n v="47"/>
        <n v="6"/>
        <n v="10"/>
      </sharedItems>
    </cacheField>
    <cacheField name="Costo Total" numFmtId="42">
      <sharedItems containsSemiMixedTypes="0" containsString="0" containsNumber="1" minValue="400" maxValue="3400000" count="102">
        <n v="18800"/>
        <n v="9000"/>
        <n v="47000"/>
        <n v="50000"/>
        <n v="15957.983193277312"/>
        <n v="179048.82352941178"/>
        <n v="137000"/>
        <n v="159000"/>
        <n v="160000"/>
        <n v="15000"/>
        <n v="3680.6722689075632"/>
        <n v="75554.621848739494"/>
        <n v="17638.655462184874"/>
        <n v="2000"/>
        <n v="400"/>
        <n v="5000"/>
        <n v="3500"/>
        <n v="10084"/>
        <n v="8000"/>
        <n v="3008"/>
        <n v="9380"/>
        <n v="3350"/>
        <n v="22500"/>
        <n v="82345"/>
        <n v="11200"/>
        <n v="10500"/>
        <n v="9900"/>
        <n v="39315"/>
        <n v="52500"/>
        <n v="4521.0084033613448"/>
        <n v="28000"/>
        <n v="3000"/>
        <n v="1200"/>
        <n v="5600"/>
        <n v="33300"/>
        <n v="4920"/>
        <n v="42000"/>
        <n v="11000"/>
        <n v="1300"/>
        <n v="6000"/>
        <n v="13500"/>
        <n v="10000"/>
        <n v="27200"/>
        <n v="64647.058823529413"/>
        <n v="45000"/>
        <n v="25000"/>
        <n v="54000"/>
        <n v="84000"/>
        <n v="90000"/>
        <n v="40000"/>
        <n v="1511520"/>
        <n v="377880"/>
        <n v="566820"/>
        <n v="755760"/>
        <n v="1133640"/>
        <n v="1904000"/>
        <n v="768000"/>
        <n v="960000"/>
        <n v="1216000"/>
        <n v="1584000"/>
        <n v="240000"/>
        <n v="360000"/>
        <n v="480000"/>
        <n v="720000"/>
        <n v="7000"/>
        <n v="22000"/>
        <n v="17000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85000"/>
        <n v="2400"/>
        <n v="5530"/>
        <n v="35804"/>
        <n v="20604"/>
        <n v="31110"/>
        <n v="150000"/>
        <n v="100000"/>
        <n v="120000"/>
        <n v="250000"/>
        <n v="16000"/>
        <n v="200000"/>
        <n v="300000"/>
        <n v="1750000"/>
        <n v="1950000"/>
        <n v="2000000"/>
        <n v="1994000"/>
        <n v="3400000"/>
        <n v="35000" u="1"/>
        <n v="30000" u="1"/>
      </sharedItems>
    </cacheField>
    <cacheField name="Item" numFmtId="0">
      <sharedItems count="113">
        <s v="Angulo Aluminio 10x10"/>
        <s v="Barra Pasamano Muro 50cm"/>
        <s v="Columna de Ducha Baño mono mando"/>
        <s v="Espejo Redondo Retroiluminado 60 Diametro"/>
        <s v="Extractor Aire baño 4&quot;"/>
        <s v="Mampara ajustable 6mm 135 -150x185cm"/>
        <s v="Mueble Vanitorio 71 cm Fiumo Vessanti"/>
        <s v="Receptáculo 130x80"/>
        <s v="Wc One Pice"/>
        <s v="Llaves Monomando - Lava Manos"/>
        <s v="Fragüe cerámico 1 kg"/>
        <s v="Porcelanato color Haya WF61515 15x60 cm"/>
        <s v="Tinta adheviso con pasta AC 25kg"/>
        <s v="Codo 20Mm Ppr"/>
        <s v="Coplas 20Mm Ppr"/>
        <s v="Desagues Ducha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Llave gas encimera"/>
        <s v="Lavaplatos Embutido "/>
        <s v="Desagues Lavaplato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Bisagras"/>
        <s v="Chapa Puerta"/>
        <s v="Marco Puerta"/>
        <s v="Puerta Enchapada Capri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Tope de Puerta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</sharedItems>
    </cacheField>
    <cacheField name="Categorias" numFmtId="0">
      <sharedItems count="14">
        <s v="Baño"/>
        <s v="Grifería"/>
        <s v="Sanitario"/>
        <s v="Cocina"/>
        <s v="Electricidad"/>
        <s v="Iluminación"/>
        <s v="Pintura"/>
        <s v="Piso"/>
        <s v="Aislación"/>
        <s v="Puerta"/>
        <s v="Tabiquería"/>
        <s v="Puertas"/>
        <s v="Varios"/>
        <s v="Container"/>
      </sharedItems>
    </cacheField>
    <cacheField name="Unidad" numFmtId="0">
      <sharedItems count="7">
        <s v="Unidad"/>
        <s v="m2"/>
        <s v="Paquete"/>
        <s v="Galon"/>
        <s v="Tineta"/>
        <s v="Pack"/>
        <s v="General"/>
      </sharedItems>
    </cacheField>
    <cacheField name="P. Unitario real" numFmtId="42">
      <sharedItems containsSemiMixedTypes="0" containsString="0" containsNumber="1" minValue="112" maxValue="3400000" count="84">
        <n v="4700"/>
        <n v="9000"/>
        <n v="47000"/>
        <n v="50000"/>
        <n v="15957.983193277312"/>
        <n v="179048.82352941178"/>
        <n v="137000"/>
        <n v="159000"/>
        <n v="160000"/>
        <n v="15000"/>
        <n v="1840.3361344537816"/>
        <n v="8394.957983193277"/>
        <n v="17638.655462184874"/>
        <n v="1000"/>
        <n v="200"/>
        <n v="5000"/>
        <n v="3500"/>
        <n v="10084"/>
        <n v="8000"/>
        <n v="1504"/>
        <n v="2345"/>
        <n v="3350"/>
        <n v="22500"/>
        <n v="82345"/>
        <n v="112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n v="11000"/>
        <n v="1300"/>
        <n v="6000"/>
        <n v="13500"/>
        <n v="680"/>
        <n v="9235.2941176470595"/>
        <n v="25000"/>
        <n v="54000"/>
        <n v="84000"/>
        <n v="90000"/>
        <n v="40000"/>
        <n v="12596"/>
        <n v="1904000"/>
        <n v="768000"/>
        <n v="960000"/>
        <n v="1216000"/>
        <n v="1584000"/>
        <n v="240000"/>
        <n v="360000"/>
        <n v="480000"/>
        <n v="720000"/>
        <n v="8500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120000"/>
        <n v="250000"/>
        <n v="16000"/>
        <n v="200000"/>
        <n v="300000"/>
        <n v="1750000"/>
        <n v="1950000"/>
        <n v="2000000"/>
        <n v="1994000"/>
        <n v="3400000"/>
      </sharedItems>
    </cacheField>
  </cacheFields>
  <extLst>
    <ext xmlns:x14="http://schemas.microsoft.com/office/spreadsheetml/2009/9/main" uri="{725AE2AE-9491-48be-B2B4-4EB974FC3084}">
      <x14:pivotCacheDefinition pivotCacheId="1110882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  <x v="0"/>
    <s v="Si"/>
    <x v="0"/>
  </r>
  <r>
    <x v="1"/>
    <x v="1"/>
    <x v="1"/>
    <x v="1"/>
    <x v="1"/>
    <x v="1"/>
    <s v="Si"/>
    <x v="1"/>
  </r>
  <r>
    <x v="1"/>
    <x v="2"/>
    <x v="1"/>
    <x v="0"/>
    <x v="2"/>
    <x v="2"/>
    <s v="Si"/>
    <x v="1"/>
  </r>
  <r>
    <x v="1"/>
    <x v="3"/>
    <x v="1"/>
    <x v="0"/>
    <x v="3"/>
    <x v="3"/>
    <s v="Si"/>
    <x v="1"/>
  </r>
  <r>
    <x v="1"/>
    <x v="4"/>
    <x v="1"/>
    <x v="0"/>
    <x v="4"/>
    <x v="4"/>
    <s v="Si"/>
    <x v="1"/>
  </r>
  <r>
    <x v="1"/>
    <x v="5"/>
    <x v="1"/>
    <x v="0"/>
    <x v="5"/>
    <x v="5"/>
    <s v="Si"/>
    <x v="1"/>
  </r>
  <r>
    <x v="1"/>
    <x v="6"/>
    <x v="1"/>
    <x v="2"/>
    <x v="6"/>
    <x v="6"/>
    <s v="No"/>
    <x v="1"/>
  </r>
  <r>
    <x v="1"/>
    <x v="7"/>
    <x v="1"/>
    <x v="0"/>
    <x v="7"/>
    <x v="7"/>
    <s v="Si"/>
    <x v="1"/>
  </r>
  <r>
    <x v="1"/>
    <x v="8"/>
    <x v="1"/>
    <x v="0"/>
    <x v="8"/>
    <x v="8"/>
    <s v="Si"/>
    <x v="1"/>
  </r>
  <r>
    <x v="1"/>
    <x v="9"/>
    <x v="2"/>
    <x v="3"/>
    <x v="9"/>
    <x v="9"/>
    <s v="Si"/>
    <x v="1"/>
  </r>
  <r>
    <x v="1"/>
    <x v="10"/>
    <x v="1"/>
    <x v="0"/>
    <x v="10"/>
    <x v="10"/>
    <s v="Si"/>
    <x v="1"/>
  </r>
  <r>
    <x v="1"/>
    <x v="11"/>
    <x v="1"/>
    <x v="0"/>
    <x v="11"/>
    <x v="11"/>
    <s v="No"/>
    <x v="1"/>
  </r>
  <r>
    <x v="1"/>
    <x v="12"/>
    <x v="1"/>
    <x v="0"/>
    <x v="12"/>
    <x v="12"/>
    <s v="Si"/>
    <x v="1"/>
  </r>
  <r>
    <x v="2"/>
    <x v="13"/>
    <x v="1"/>
    <x v="0"/>
    <x v="13"/>
    <x v="13"/>
    <s v="Si"/>
    <x v="1"/>
  </r>
  <r>
    <x v="2"/>
    <x v="14"/>
    <x v="1"/>
    <x v="0"/>
    <x v="14"/>
    <x v="14"/>
    <s v="No"/>
    <x v="1"/>
  </r>
  <r>
    <x v="3"/>
    <x v="15"/>
    <x v="1"/>
    <x v="0"/>
    <x v="15"/>
    <x v="15"/>
    <s v="Si"/>
    <x v="0"/>
  </r>
  <r>
    <x v="4"/>
    <x v="16"/>
    <x v="1"/>
    <x v="4"/>
    <x v="16"/>
    <x v="16"/>
    <s v="No"/>
    <x v="1"/>
  </r>
  <r>
    <x v="4"/>
    <x v="17"/>
    <x v="1"/>
    <x v="0"/>
    <x v="17"/>
    <x v="17"/>
    <s v="No"/>
    <x v="1"/>
  </r>
  <r>
    <x v="4"/>
    <x v="18"/>
    <x v="1"/>
    <x v="5"/>
    <x v="17"/>
    <x v="18"/>
    <s v="No"/>
    <x v="1"/>
  </r>
  <r>
    <x v="4"/>
    <x v="19"/>
    <x v="1"/>
    <x v="0"/>
    <x v="18"/>
    <x v="19"/>
    <s v="No"/>
    <x v="1"/>
  </r>
  <r>
    <x v="4"/>
    <x v="20"/>
    <x v="1"/>
    <x v="5"/>
    <x v="19"/>
    <x v="20"/>
    <s v="No"/>
    <x v="1"/>
  </r>
  <r>
    <x v="4"/>
    <x v="21"/>
    <x v="1"/>
    <x v="5"/>
    <x v="20"/>
    <x v="21"/>
    <s v="No"/>
    <x v="1"/>
  </r>
  <r>
    <x v="4"/>
    <x v="22"/>
    <x v="1"/>
    <x v="2"/>
    <x v="21"/>
    <x v="22"/>
    <s v="No"/>
    <x v="1"/>
  </r>
  <r>
    <x v="4"/>
    <x v="23"/>
    <x v="1"/>
    <x v="6"/>
    <x v="22"/>
    <x v="23"/>
    <s v="No"/>
    <x v="1"/>
  </r>
  <r>
    <x v="4"/>
    <x v="24"/>
    <x v="1"/>
    <x v="2"/>
    <x v="23"/>
    <x v="24"/>
    <s v="Si"/>
    <x v="1"/>
  </r>
  <r>
    <x v="4"/>
    <x v="25"/>
    <x v="1"/>
    <x v="0"/>
    <x v="24"/>
    <x v="25"/>
    <s v="No"/>
    <x v="1"/>
  </r>
  <r>
    <x v="4"/>
    <x v="26"/>
    <x v="3"/>
    <x v="0"/>
    <x v="25"/>
    <x v="26"/>
    <s v="No"/>
    <x v="1"/>
  </r>
  <r>
    <x v="4"/>
    <x v="27"/>
    <x v="3"/>
    <x v="0"/>
    <x v="25"/>
    <x v="26"/>
    <s v="No"/>
    <x v="1"/>
  </r>
  <r>
    <x v="4"/>
    <x v="28"/>
    <x v="3"/>
    <x v="7"/>
    <x v="26"/>
    <x v="27"/>
    <s v="No"/>
    <x v="1"/>
  </r>
  <r>
    <x v="4"/>
    <x v="29"/>
    <x v="1"/>
    <x v="1"/>
    <x v="27"/>
    <x v="28"/>
    <s v="No"/>
    <x v="1"/>
  </r>
  <r>
    <x v="4"/>
    <x v="30"/>
    <x v="1"/>
    <x v="2"/>
    <x v="28"/>
    <x v="29"/>
    <s v="No"/>
    <x v="1"/>
  </r>
  <r>
    <x v="4"/>
    <x v="31"/>
    <x v="1"/>
    <x v="8"/>
    <x v="29"/>
    <x v="30"/>
    <s v="No"/>
    <x v="1"/>
  </r>
  <r>
    <x v="5"/>
    <x v="32"/>
    <x v="4"/>
    <x v="9"/>
    <x v="30"/>
    <x v="31"/>
    <s v=""/>
    <x v="2"/>
  </r>
  <r>
    <x v="4"/>
    <x v="33"/>
    <x v="1"/>
    <x v="0"/>
    <x v="31"/>
    <x v="32"/>
    <s v="No"/>
    <x v="1"/>
  </r>
  <r>
    <x v="4"/>
    <x v="34"/>
    <x v="3"/>
    <x v="0"/>
    <x v="32"/>
    <x v="33"/>
    <s v="No"/>
    <x v="1"/>
  </r>
  <r>
    <x v="4"/>
    <x v="35"/>
    <x v="3"/>
    <x v="0"/>
    <x v="32"/>
    <x v="33"/>
    <s v="No"/>
    <x v="1"/>
  </r>
  <r>
    <x v="4"/>
    <x v="36"/>
    <x v="1"/>
    <x v="0"/>
    <x v="33"/>
    <x v="34"/>
    <s v="No"/>
    <x v="1"/>
  </r>
  <r>
    <x v="4"/>
    <x v="37"/>
    <x v="1"/>
    <x v="0"/>
    <x v="34"/>
    <x v="35"/>
    <s v="No"/>
    <x v="1"/>
  </r>
  <r>
    <x v="4"/>
    <x v="38"/>
    <x v="1"/>
    <x v="0"/>
    <x v="27"/>
    <x v="36"/>
    <s v="No"/>
    <x v="1"/>
  </r>
  <r>
    <x v="4"/>
    <x v="39"/>
    <x v="1"/>
    <x v="0"/>
    <x v="35"/>
    <x v="37"/>
    <s v="No"/>
    <x v="1"/>
  </r>
  <r>
    <x v="4"/>
    <x v="40"/>
    <x v="1"/>
    <x v="0"/>
    <x v="36"/>
    <x v="38"/>
    <s v="No"/>
    <x v="1"/>
  </r>
  <r>
    <x v="4"/>
    <x v="41"/>
    <x v="1"/>
    <x v="10"/>
    <x v="27"/>
    <x v="39"/>
    <s v="No"/>
    <x v="1"/>
  </r>
  <r>
    <x v="4"/>
    <x v="42"/>
    <x v="1"/>
    <x v="11"/>
    <x v="37"/>
    <x v="40"/>
    <s v="No"/>
    <x v="1"/>
  </r>
  <r>
    <x v="6"/>
    <x v="43"/>
    <x v="1"/>
    <x v="0"/>
    <x v="38"/>
    <x v="41"/>
    <s v="Si"/>
    <x v="1"/>
  </r>
  <r>
    <x v="7"/>
    <x v="44"/>
    <x v="1"/>
    <x v="12"/>
    <x v="39"/>
    <x v="42"/>
    <s v="Si"/>
    <x v="1"/>
  </r>
  <r>
    <x v="7"/>
    <x v="45"/>
    <x v="1"/>
    <x v="13"/>
    <x v="33"/>
    <x v="43"/>
    <s v="Si"/>
    <x v="1"/>
  </r>
  <r>
    <x v="5"/>
    <x v="32"/>
    <x v="4"/>
    <x v="9"/>
    <x v="30"/>
    <x v="31"/>
    <s v=""/>
    <x v="2"/>
  </r>
  <r>
    <x v="7"/>
    <x v="46"/>
    <x v="1"/>
    <x v="0"/>
    <x v="17"/>
    <x v="17"/>
    <s v="No"/>
    <x v="1"/>
  </r>
  <r>
    <x v="8"/>
    <x v="47"/>
    <x v="5"/>
    <x v="0"/>
    <x v="40"/>
    <x v="44"/>
    <s v="No"/>
    <x v="1"/>
  </r>
  <r>
    <x v="8"/>
    <x v="48"/>
    <x v="6"/>
    <x v="0"/>
    <x v="41"/>
    <x v="45"/>
    <s v="Si"/>
    <x v="1"/>
  </r>
  <r>
    <x v="8"/>
    <x v="49"/>
    <x v="6"/>
    <x v="0"/>
    <x v="42"/>
    <x v="46"/>
    <s v="Si"/>
    <x v="1"/>
  </r>
  <r>
    <x v="8"/>
    <x v="50"/>
    <x v="6"/>
    <x v="0"/>
    <x v="43"/>
    <x v="47"/>
    <s v="Si"/>
    <x v="1"/>
  </r>
  <r>
    <x v="8"/>
    <x v="51"/>
    <x v="6"/>
    <x v="0"/>
    <x v="44"/>
    <x v="43"/>
    <s v="Si"/>
    <x v="1"/>
  </r>
  <r>
    <x v="8"/>
    <x v="52"/>
    <x v="1"/>
    <x v="0"/>
    <x v="4"/>
    <x v="4"/>
    <s v="No"/>
    <x v="1"/>
  </r>
  <r>
    <x v="9"/>
    <x v="53"/>
    <x v="2"/>
    <x v="14"/>
    <x v="45"/>
    <x v="48"/>
    <s v="Si"/>
    <x v="1"/>
  </r>
  <r>
    <x v="10"/>
    <x v="54"/>
    <x v="1"/>
    <x v="2"/>
    <x v="17"/>
    <x v="49"/>
    <s v="No"/>
    <x v="1"/>
  </r>
  <r>
    <x v="10"/>
    <x v="55"/>
    <x v="1"/>
    <x v="2"/>
    <x v="33"/>
    <x v="39"/>
    <s v="Si"/>
    <x v="1"/>
  </r>
  <r>
    <x v="10"/>
    <x v="56"/>
    <x v="1"/>
    <x v="2"/>
    <x v="31"/>
    <x v="50"/>
    <s v="No"/>
    <x v="1"/>
  </r>
  <r>
    <x v="10"/>
    <x v="57"/>
    <x v="1"/>
    <x v="2"/>
    <x v="46"/>
    <x v="51"/>
    <s v="Si"/>
    <x v="1"/>
  </r>
  <r>
    <x v="11"/>
    <x v="58"/>
    <x v="1"/>
    <x v="2"/>
    <x v="47"/>
    <x v="36"/>
    <s v="No"/>
    <x v="1"/>
  </r>
  <r>
    <x v="11"/>
    <x v="59"/>
    <x v="1"/>
    <x v="2"/>
    <x v="48"/>
    <x v="52"/>
    <s v="No"/>
    <x v="1"/>
  </r>
  <r>
    <x v="11"/>
    <x v="60"/>
    <x v="1"/>
    <x v="0"/>
    <x v="33"/>
    <x v="34"/>
    <s v="No"/>
    <x v="1"/>
  </r>
  <r>
    <x v="11"/>
    <x v="61"/>
    <x v="1"/>
    <x v="0"/>
    <x v="33"/>
    <x v="34"/>
    <s v="No"/>
    <x v="1"/>
  </r>
  <r>
    <x v="11"/>
    <x v="62"/>
    <x v="1"/>
    <x v="0"/>
    <x v="17"/>
    <x v="17"/>
    <s v="No"/>
    <x v="1"/>
  </r>
  <r>
    <x v="11"/>
    <x v="63"/>
    <x v="1"/>
    <x v="0"/>
    <x v="35"/>
    <x v="37"/>
    <s v="No"/>
    <x v="1"/>
  </r>
  <r>
    <x v="11"/>
    <x v="64"/>
    <x v="1"/>
    <x v="0"/>
    <x v="49"/>
    <x v="28"/>
    <s v="No"/>
    <x v="1"/>
  </r>
  <r>
    <x v="11"/>
    <x v="65"/>
    <x v="1"/>
    <x v="2"/>
    <x v="50"/>
    <x v="53"/>
    <s v="No"/>
    <x v="1"/>
  </r>
  <r>
    <x v="11"/>
    <x v="66"/>
    <x v="1"/>
    <x v="2"/>
    <x v="50"/>
    <x v="53"/>
    <s v="No"/>
    <x v="1"/>
  </r>
  <r>
    <x v="11"/>
    <x v="67"/>
    <x v="1"/>
    <x v="1"/>
    <x v="51"/>
    <x v="54"/>
    <s v="No"/>
    <x v="1"/>
  </r>
  <r>
    <x v="11"/>
    <x v="68"/>
    <x v="1"/>
    <x v="0"/>
    <x v="33"/>
    <x v="34"/>
    <s v="No"/>
    <x v="1"/>
  </r>
  <r>
    <x v="11"/>
    <x v="69"/>
    <x v="1"/>
    <x v="0"/>
    <x v="52"/>
    <x v="55"/>
    <s v="No"/>
    <x v="1"/>
  </r>
  <r>
    <x v="12"/>
    <x v="70"/>
    <x v="1"/>
    <x v="13"/>
    <x v="47"/>
    <x v="28"/>
    <s v="No"/>
    <x v="1"/>
  </r>
  <r>
    <x v="12"/>
    <x v="71"/>
    <x v="1"/>
    <x v="15"/>
    <x v="53"/>
    <x v="56"/>
    <s v="No"/>
    <x v="1"/>
  </r>
  <r>
    <x v="12"/>
    <x v="72"/>
    <x v="1"/>
    <x v="0"/>
    <x v="54"/>
    <x v="57"/>
    <s v="No"/>
    <x v="1"/>
  </r>
  <r>
    <x v="12"/>
    <x v="73"/>
    <x v="1"/>
    <x v="16"/>
    <x v="24"/>
    <x v="58"/>
    <s v="No"/>
    <x v="1"/>
  </r>
  <r>
    <x v="12"/>
    <x v="74"/>
    <x v="1"/>
    <x v="0"/>
    <x v="55"/>
    <x v="59"/>
    <s v="No"/>
    <x v="1"/>
  </r>
  <r>
    <x v="12"/>
    <x v="75"/>
    <x v="1"/>
    <x v="16"/>
    <x v="56"/>
    <x v="60"/>
    <s v="No"/>
    <x v="1"/>
  </r>
  <r>
    <x v="12"/>
    <x v="76"/>
    <x v="1"/>
    <x v="0"/>
    <x v="57"/>
    <x v="61"/>
    <s v="No"/>
    <x v="1"/>
  </r>
  <r>
    <x v="12"/>
    <x v="77"/>
    <x v="1"/>
    <x v="17"/>
    <x v="58"/>
    <x v="62"/>
    <s v="No"/>
    <x v="1"/>
  </r>
  <r>
    <x v="12"/>
    <x v="78"/>
    <x v="6"/>
    <x v="0"/>
    <x v="59"/>
    <x v="63"/>
    <s v="No"/>
    <x v="1"/>
  </r>
  <r>
    <x v="12"/>
    <x v="79"/>
    <x v="1"/>
    <x v="13"/>
    <x v="31"/>
    <x v="64"/>
    <s v="No"/>
    <x v="1"/>
  </r>
  <r>
    <x v="12"/>
    <x v="80"/>
    <x v="7"/>
    <x v="0"/>
    <x v="60"/>
    <x v="18"/>
    <s v="No"/>
    <x v="1"/>
  </r>
  <r>
    <x v="12"/>
    <x v="81"/>
    <x v="1"/>
    <x v="2"/>
    <x v="61"/>
    <x v="65"/>
    <s v="No"/>
    <x v="1"/>
  </r>
  <r>
    <x v="12"/>
    <x v="82"/>
    <x v="1"/>
    <x v="18"/>
    <x v="62"/>
    <x v="66"/>
    <s v="No"/>
    <x v="1"/>
  </r>
  <r>
    <x v="12"/>
    <x v="83"/>
    <x v="1"/>
    <x v="2"/>
    <x v="29"/>
    <x v="35"/>
    <s v="No"/>
    <x v="1"/>
  </r>
  <r>
    <x v="12"/>
    <x v="84"/>
    <x v="1"/>
    <x v="0"/>
    <x v="4"/>
    <x v="4"/>
    <s v="No"/>
    <x v="1"/>
  </r>
  <r>
    <x v="12"/>
    <x v="85"/>
    <x v="1"/>
    <x v="19"/>
    <x v="63"/>
    <x v="67"/>
    <s v="No"/>
    <x v="1"/>
  </r>
  <r>
    <x v="12"/>
    <x v="86"/>
    <x v="1"/>
    <x v="14"/>
    <x v="63"/>
    <x v="68"/>
    <s v="Si"/>
    <x v="1"/>
  </r>
  <r>
    <x v="12"/>
    <x v="87"/>
    <x v="1"/>
    <x v="12"/>
    <x v="64"/>
    <x v="69"/>
    <s v="Si"/>
    <x v="1"/>
  </r>
  <r>
    <x v="12"/>
    <x v="88"/>
    <x v="1"/>
    <x v="14"/>
    <x v="65"/>
    <x v="70"/>
    <s v="No"/>
    <x v="1"/>
  </r>
  <r>
    <x v="13"/>
    <x v="89"/>
    <x v="1"/>
    <x v="0"/>
    <x v="66"/>
    <x v="71"/>
    <s v="No"/>
    <x v="0"/>
  </r>
  <r>
    <x v="13"/>
    <x v="90"/>
    <x v="1"/>
    <x v="0"/>
    <x v="67"/>
    <x v="72"/>
    <s v="No"/>
    <x v="0"/>
  </r>
  <r>
    <x v="13"/>
    <x v="91"/>
    <x v="1"/>
    <x v="0"/>
    <x v="67"/>
    <x v="72"/>
    <s v="No"/>
    <x v="0"/>
  </r>
  <r>
    <x v="13"/>
    <x v="92"/>
    <x v="1"/>
    <x v="0"/>
    <x v="67"/>
    <x v="72"/>
    <s v="No"/>
    <x v="1"/>
  </r>
  <r>
    <x v="13"/>
    <x v="93"/>
    <x v="1"/>
    <x v="0"/>
    <x v="12"/>
    <x v="12"/>
    <s v="Si"/>
    <x v="1"/>
  </r>
  <r>
    <x v="13"/>
    <x v="94"/>
    <x v="1"/>
    <x v="0"/>
    <x v="68"/>
    <x v="73"/>
    <s v="No"/>
    <x v="0"/>
  </r>
  <r>
    <x v="13"/>
    <x v="95"/>
    <x v="7"/>
    <x v="0"/>
    <x v="69"/>
    <x v="74"/>
    <s v="No"/>
    <x v="0"/>
  </r>
  <r>
    <x v="13"/>
    <x v="96"/>
    <x v="1"/>
    <x v="0"/>
    <x v="70"/>
    <x v="75"/>
    <s v="No"/>
    <x v="0"/>
  </r>
  <r>
    <x v="13"/>
    <x v="97"/>
    <x v="1"/>
    <x v="0"/>
    <x v="71"/>
    <x v="76"/>
    <s v="No"/>
    <x v="0"/>
  </r>
  <r>
    <x v="13"/>
    <x v="98"/>
    <x v="1"/>
    <x v="2"/>
    <x v="4"/>
    <x v="72"/>
    <s v="Si"/>
    <x v="1"/>
  </r>
  <r>
    <x v="13"/>
    <x v="99"/>
    <x v="1"/>
    <x v="0"/>
    <x v="40"/>
    <x v="44"/>
    <s v="No"/>
    <x v="0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x v="0"/>
    <n v="1"/>
    <n v="50000"/>
    <n v="50000"/>
    <x v="0"/>
    <s v="Si"/>
  </r>
  <r>
    <x v="0"/>
    <x v="1"/>
    <x v="0"/>
    <n v="2"/>
    <n v="350000"/>
    <n v="700000"/>
    <x v="0"/>
    <s v="Si"/>
  </r>
  <r>
    <x v="0"/>
    <x v="2"/>
    <x v="0"/>
    <n v="1"/>
    <n v="540000"/>
    <n v="540000"/>
    <x v="0"/>
    <s v="Si"/>
  </r>
  <r>
    <x v="0"/>
    <x v="3"/>
    <x v="0"/>
    <n v="1"/>
    <n v="70400"/>
    <n v="70400"/>
    <x v="0"/>
    <s v="Si"/>
  </r>
  <r>
    <x v="1"/>
    <x v="4"/>
    <x v="0"/>
    <n v="8"/>
    <n v="17638.655462184874"/>
    <n v="141109.24369747899"/>
    <x v="1"/>
    <s v="Si"/>
  </r>
  <r>
    <x v="2"/>
    <x v="5"/>
    <x v="1"/>
    <n v="190"/>
    <n v="8000"/>
    <n v="1520000"/>
    <x v="0"/>
    <s v="Si"/>
  </r>
  <r>
    <x v="1"/>
    <x v="6"/>
    <x v="0"/>
    <n v="3"/>
    <n v="5000"/>
    <n v="15000"/>
    <x v="1"/>
    <s v="Si"/>
  </r>
  <r>
    <x v="1"/>
    <x v="7"/>
    <x v="0"/>
    <n v="3"/>
    <n v="3500"/>
    <n v="10500"/>
    <x v="1"/>
    <s v="Si"/>
  </r>
  <r>
    <x v="1"/>
    <x v="8"/>
    <x v="0"/>
    <n v="3"/>
    <n v="10084"/>
    <n v="30252"/>
    <x v="1"/>
    <s v="Si"/>
  </r>
  <r>
    <x v="1"/>
    <x v="9"/>
    <x v="1"/>
    <n v="27"/>
    <n v="6992"/>
    <n v="188784"/>
    <x v="0"/>
    <s v="Si"/>
  </r>
  <r>
    <x v="1"/>
    <x v="10"/>
    <x v="0"/>
    <n v="3"/>
    <n v="159000"/>
    <n v="477000"/>
    <x v="0"/>
    <s v="Si"/>
  </r>
  <r>
    <x v="1"/>
    <x v="11"/>
    <x v="0"/>
    <n v="21"/>
    <n v="11336"/>
    <n v="238056"/>
    <x v="0"/>
    <s v="Si"/>
  </r>
  <r>
    <x v="1"/>
    <x v="12"/>
    <x v="0"/>
    <n v="3"/>
    <n v="160000"/>
    <n v="480000"/>
    <x v="0"/>
    <s v="Si"/>
  </r>
  <r>
    <x v="1"/>
    <x v="13"/>
    <x v="0"/>
    <n v="3"/>
    <n v="137000"/>
    <n v="411000"/>
    <x v="0"/>
    <s v="Si"/>
  </r>
  <r>
    <x v="1"/>
    <x v="14"/>
    <x v="0"/>
    <n v="6"/>
    <n v="4700"/>
    <n v="28200"/>
    <x v="0"/>
    <s v="Si"/>
  </r>
  <r>
    <x v="1"/>
    <x v="15"/>
    <x v="0"/>
    <n v="3"/>
    <n v="47000"/>
    <n v="141000"/>
    <x v="0"/>
    <s v="Si"/>
  </r>
  <r>
    <x v="1"/>
    <x v="16"/>
    <x v="0"/>
    <n v="3"/>
    <n v="50000"/>
    <n v="150000"/>
    <x v="0"/>
    <s v="Si"/>
  </r>
  <r>
    <x v="1"/>
    <x v="17"/>
    <x v="0"/>
    <n v="3"/>
    <n v="1500"/>
    <n v="4500"/>
    <x v="1"/>
    <s v="Si"/>
  </r>
  <r>
    <x v="0"/>
    <x v="1"/>
    <x v="0"/>
    <n v="1"/>
    <n v="350000"/>
    <n v="350000"/>
    <x v="0"/>
    <s v="Si"/>
  </r>
  <r>
    <x v="3"/>
    <x v="18"/>
    <x v="0"/>
    <n v="1"/>
    <n v="5000"/>
    <n v="5000"/>
    <x v="1"/>
    <s v="Si"/>
  </r>
  <r>
    <x v="1"/>
    <x v="19"/>
    <x v="0"/>
    <n v="3"/>
    <n v="179048.82352941178"/>
    <n v="537146.4705882353"/>
    <x v="0"/>
    <s v="Si"/>
  </r>
  <r>
    <x v="4"/>
    <x v="20"/>
    <x v="0"/>
    <n v="1"/>
    <n v="82345"/>
    <n v="82345"/>
    <x v="0"/>
    <s v="Si"/>
  </r>
  <r>
    <x v="4"/>
    <x v="21"/>
    <x v="0"/>
    <n v="1"/>
    <n v="2070000"/>
    <n v="2070000"/>
    <x v="0"/>
    <s v="Si"/>
  </r>
  <r>
    <x v="4"/>
    <x v="22"/>
    <x v="0"/>
    <n v="1"/>
    <n v="22500"/>
    <n v="22500"/>
    <x v="1"/>
    <s v="Si"/>
  </r>
  <r>
    <x v="5"/>
    <x v="23"/>
    <x v="0"/>
    <n v="3"/>
    <n v="1950000"/>
    <n v="5850000"/>
    <x v="0"/>
    <s v="No"/>
  </r>
  <r>
    <x v="6"/>
    <x v="24"/>
    <x v="0"/>
    <n v="1"/>
    <n v="3500"/>
    <n v="3500"/>
    <x v="1"/>
    <s v="Si"/>
  </r>
  <r>
    <x v="6"/>
    <x v="25"/>
    <x v="0"/>
    <n v="3"/>
    <n v="3500"/>
    <n v="10500"/>
    <x v="1"/>
    <s v="Si"/>
  </r>
  <r>
    <x v="6"/>
    <x v="26"/>
    <x v="0"/>
    <n v="1"/>
    <n v="9900"/>
    <n v="9900"/>
    <x v="1"/>
    <s v="Si"/>
  </r>
  <r>
    <x v="6"/>
    <x v="27"/>
    <x v="0"/>
    <n v="9"/>
    <n v="13105"/>
    <n v="117945"/>
    <x v="1"/>
    <s v="Si"/>
  </r>
  <r>
    <x v="6"/>
    <x v="28"/>
    <x v="0"/>
    <n v="9"/>
    <n v="17500"/>
    <n v="157500"/>
    <x v="1"/>
    <s v="Si"/>
  </r>
  <r>
    <x v="6"/>
    <x v="29"/>
    <x v="0"/>
    <n v="80"/>
    <n v="800"/>
    <n v="64000"/>
    <x v="1"/>
    <s v="Si"/>
  </r>
  <r>
    <x v="6"/>
    <x v="30"/>
    <x v="0"/>
    <n v="30"/>
    <n v="1000"/>
    <n v="30000"/>
    <x v="1"/>
    <s v="Si"/>
  </r>
  <r>
    <x v="6"/>
    <x v="31"/>
    <x v="2"/>
    <n v="240"/>
    <n v="370"/>
    <n v="88800"/>
    <x v="1"/>
    <s v="Si"/>
  </r>
  <r>
    <x v="6"/>
    <x v="32"/>
    <x v="0"/>
    <n v="4"/>
    <n v="2000"/>
    <n v="8000"/>
    <x v="1"/>
    <s v="Si"/>
  </r>
  <r>
    <x v="6"/>
    <x v="33"/>
    <x v="0"/>
    <n v="26"/>
    <n v="3000"/>
    <n v="78000"/>
    <x v="1"/>
    <s v="Si"/>
  </r>
  <r>
    <x v="6"/>
    <x v="34"/>
    <x v="0"/>
    <n v="2"/>
    <n v="11000"/>
    <n v="22000"/>
    <x v="1"/>
    <s v="Si"/>
  </r>
  <r>
    <x v="6"/>
    <x v="35"/>
    <x v="0"/>
    <n v="1"/>
    <n v="5000"/>
    <n v="5000"/>
    <x v="1"/>
    <s v="Si"/>
  </r>
  <r>
    <x v="6"/>
    <x v="36"/>
    <x v="0"/>
    <n v="1"/>
    <n v="6000"/>
    <n v="6000"/>
    <x v="1"/>
    <s v="Si"/>
  </r>
  <r>
    <x v="6"/>
    <x v="37"/>
    <x v="0"/>
    <n v="8"/>
    <n v="2000"/>
    <n v="16000"/>
    <x v="1"/>
    <s v="Si"/>
  </r>
  <r>
    <x v="6"/>
    <x v="38"/>
    <x v="0"/>
    <n v="1"/>
    <n v="3500"/>
    <n v="3500"/>
    <x v="1"/>
    <s v="Si"/>
  </r>
  <r>
    <x v="6"/>
    <x v="39"/>
    <x v="0"/>
    <n v="1"/>
    <n v="10084"/>
    <n v="10084"/>
    <x v="1"/>
    <s v="Si"/>
  </r>
  <r>
    <x v="6"/>
    <x v="40"/>
    <x v="0"/>
    <n v="1"/>
    <n v="13500"/>
    <n v="13500"/>
    <x v="1"/>
    <s v="Si"/>
  </r>
  <r>
    <x v="6"/>
    <x v="41"/>
    <x v="0"/>
    <n v="7"/>
    <n v="2000"/>
    <n v="14000"/>
    <x v="1"/>
    <s v="Si"/>
  </r>
  <r>
    <x v="6"/>
    <x v="42"/>
    <x v="0"/>
    <n v="2"/>
    <n v="2990"/>
    <n v="5980"/>
    <x v="1"/>
    <s v="Si"/>
  </r>
  <r>
    <x v="6"/>
    <x v="43"/>
    <x v="0"/>
    <n v="75"/>
    <n v="680"/>
    <n v="51000"/>
    <x v="1"/>
    <s v="Si"/>
  </r>
  <r>
    <x v="6"/>
    <x v="44"/>
    <x v="0"/>
    <n v="250"/>
    <n v="112"/>
    <n v="28000"/>
    <x v="1"/>
    <s v="Si"/>
  </r>
  <r>
    <x v="6"/>
    <x v="45"/>
    <x v="0"/>
    <n v="12"/>
    <n v="9235.2941176470595"/>
    <n v="110823.52941176471"/>
    <x v="0"/>
    <s v="Si"/>
  </r>
  <r>
    <x v="6"/>
    <x v="46"/>
    <x v="0"/>
    <n v="19"/>
    <n v="5000"/>
    <n v="95000"/>
    <x v="0"/>
    <s v="Si"/>
  </r>
  <r>
    <x v="6"/>
    <x v="36"/>
    <x v="0"/>
    <n v="1"/>
    <n v="6000"/>
    <n v="6000"/>
    <x v="1"/>
    <s v="Si"/>
  </r>
  <r>
    <x v="6"/>
    <x v="47"/>
    <x v="0"/>
    <n v="3"/>
    <n v="2460"/>
    <n v="7380"/>
    <x v="1"/>
    <s v="Si"/>
  </r>
  <r>
    <x v="6"/>
    <x v="48"/>
    <x v="0"/>
    <n v="2"/>
    <n v="1500"/>
    <n v="3000"/>
    <x v="0"/>
    <s v="Si"/>
  </r>
  <r>
    <x v="6"/>
    <x v="42"/>
    <x v="0"/>
    <n v="3"/>
    <n v="2990"/>
    <n v="8970"/>
    <x v="1"/>
    <s v="Si"/>
  </r>
  <r>
    <x v="7"/>
    <x v="49"/>
    <x v="0"/>
    <n v="97"/>
    <n v="20160"/>
    <n v="1955520"/>
    <x v="0"/>
    <s v="Si"/>
  </r>
  <r>
    <x v="7"/>
    <x v="50"/>
    <x v="0"/>
    <n v="20"/>
    <n v="3900"/>
    <n v="78000"/>
    <x v="0"/>
    <s v="Si"/>
  </r>
  <r>
    <x v="8"/>
    <x v="51"/>
    <x v="0"/>
    <n v="3"/>
    <n v="15000"/>
    <n v="45000"/>
    <x v="0"/>
    <s v="Si"/>
  </r>
  <r>
    <x v="9"/>
    <x v="52"/>
    <x v="3"/>
    <n v="2"/>
    <n v="25000"/>
    <n v="50000"/>
    <x v="1"/>
    <s v="Si"/>
  </r>
  <r>
    <x v="9"/>
    <x v="53"/>
    <x v="4"/>
    <n v="2"/>
    <n v="84000"/>
    <n v="168000"/>
    <x v="0"/>
    <s v="Si"/>
  </r>
  <r>
    <x v="9"/>
    <x v="54"/>
    <x v="4"/>
    <n v="2"/>
    <n v="40000"/>
    <n v="80000"/>
    <x v="0"/>
    <s v="Si"/>
  </r>
  <r>
    <x v="9"/>
    <x v="55"/>
    <x v="4"/>
    <n v="2"/>
    <n v="90000"/>
    <n v="180000"/>
    <x v="0"/>
    <s v="Si"/>
  </r>
  <r>
    <x v="9"/>
    <x v="56"/>
    <x v="0"/>
    <n v="2"/>
    <n v="50000"/>
    <n v="100000"/>
    <x v="1"/>
    <s v="Si"/>
  </r>
  <r>
    <x v="9"/>
    <x v="57"/>
    <x v="0"/>
    <n v="1"/>
    <n v="105033.61344537816"/>
    <n v="105033.61344537816"/>
    <x v="0"/>
    <s v="Si"/>
  </r>
  <r>
    <x v="10"/>
    <x v="58"/>
    <x v="1"/>
    <n v="90"/>
    <n v="12596"/>
    <n v="1133640"/>
    <x v="0"/>
    <s v="Si"/>
  </r>
  <r>
    <x v="11"/>
    <x v="59"/>
    <x v="5"/>
    <m/>
    <s v=""/>
    <s v=""/>
    <x v="2"/>
    <s v=""/>
  </r>
  <r>
    <x v="10"/>
    <x v="60"/>
    <x v="0"/>
    <n v="3"/>
    <n v="1840.3361344537816"/>
    <n v="5521.0084033613448"/>
    <x v="1"/>
    <s v="Si"/>
  </r>
  <r>
    <x v="12"/>
    <x v="61"/>
    <x v="0"/>
    <n v="8"/>
    <n v="5000"/>
    <n v="40000"/>
    <x v="0"/>
    <s v="Si"/>
  </r>
  <r>
    <x v="12"/>
    <x v="62"/>
    <x v="0"/>
    <n v="8"/>
    <n v="85000"/>
    <n v="680000"/>
    <x v="0"/>
    <s v="Si"/>
  </r>
  <r>
    <x v="12"/>
    <x v="63"/>
    <x v="0"/>
    <n v="8"/>
    <n v="3500"/>
    <n v="28000"/>
    <x v="1"/>
    <s v="Si"/>
  </r>
  <r>
    <x v="12"/>
    <x v="64"/>
    <x v="0"/>
    <n v="1"/>
    <n v="453782"/>
    <n v="453782"/>
    <x v="0"/>
    <s v="Si"/>
  </r>
  <r>
    <x v="13"/>
    <x v="65"/>
    <x v="0"/>
    <n v="8"/>
    <n v="11000"/>
    <n v="88000"/>
    <x v="1"/>
    <s v="Si"/>
  </r>
  <r>
    <x v="3"/>
    <x v="66"/>
    <x v="0"/>
    <n v="16"/>
    <n v="1504"/>
    <n v="24064"/>
    <x v="1"/>
    <s v="Si"/>
  </r>
  <r>
    <x v="3"/>
    <x v="67"/>
    <x v="0"/>
    <n v="12"/>
    <n v="200"/>
    <n v="2400"/>
    <x v="1"/>
    <s v="Si"/>
  </r>
  <r>
    <x v="3"/>
    <x v="68"/>
    <x v="0"/>
    <n v="22"/>
    <n v="2345"/>
    <n v="51590"/>
    <x v="1"/>
    <s v="Si"/>
  </r>
  <r>
    <x v="3"/>
    <x v="69"/>
    <x v="0"/>
    <n v="16"/>
    <n v="1504"/>
    <n v="24064"/>
    <x v="1"/>
    <s v="Si"/>
  </r>
  <r>
    <x v="6"/>
    <x v="43"/>
    <x v="0"/>
    <n v="60"/>
    <n v="680"/>
    <n v="40800"/>
    <x v="1"/>
    <s v="Si"/>
  </r>
  <r>
    <x v="3"/>
    <x v="70"/>
    <x v="0"/>
    <n v="10"/>
    <n v="1000"/>
    <n v="10000"/>
    <x v="1"/>
    <s v="Si"/>
  </r>
  <r>
    <x v="3"/>
    <x v="71"/>
    <x v="0"/>
    <n v="18"/>
    <n v="124"/>
    <n v="2232"/>
    <x v="1"/>
    <s v="Si"/>
  </r>
  <r>
    <x v="3"/>
    <x v="72"/>
    <x v="0"/>
    <n v="3"/>
    <n v="8000"/>
    <n v="24000"/>
    <x v="1"/>
    <s v="Si"/>
  </r>
  <r>
    <x v="14"/>
    <x v="73"/>
    <x v="0"/>
    <n v="24"/>
    <n v="1000"/>
    <n v="24000"/>
    <x v="1"/>
    <s v="Si"/>
  </r>
  <r>
    <x v="14"/>
    <x v="74"/>
    <x v="0"/>
    <n v="70"/>
    <n v="1200"/>
    <n v="84000"/>
    <x v="1"/>
    <s v="Si"/>
  </r>
  <r>
    <x v="14"/>
    <x v="75"/>
    <x v="0"/>
    <n v="90"/>
    <n v="2765"/>
    <n v="248850"/>
    <x v="1"/>
    <s v="Si"/>
  </r>
  <r>
    <x v="14"/>
    <x v="76"/>
    <x v="0"/>
    <n v="9"/>
    <n v="2690"/>
    <n v="24210"/>
    <x v="1"/>
    <s v="Si"/>
  </r>
  <r>
    <x v="14"/>
    <x v="77"/>
    <x v="0"/>
    <n v="10"/>
    <n v="3000"/>
    <n v="30000"/>
    <x v="1"/>
    <s v="Si"/>
  </r>
  <r>
    <x v="14"/>
    <x v="78"/>
    <x v="0"/>
    <n v="2"/>
    <n v="50000"/>
    <n v="100000"/>
    <x v="1"/>
    <s v="Si"/>
  </r>
  <r>
    <x v="14"/>
    <x v="79"/>
    <x v="0"/>
    <n v="66"/>
    <n v="5151"/>
    <n v="339966"/>
    <x v="0"/>
    <s v="Si"/>
  </r>
  <r>
    <x v="6"/>
    <x v="80"/>
    <x v="0"/>
    <n v="1"/>
    <n v="13150"/>
    <n v="13150"/>
    <x v="1"/>
    <s v="Si"/>
  </r>
  <r>
    <x v="14"/>
    <x v="81"/>
    <x v="0"/>
    <n v="90"/>
    <n v="6222"/>
    <n v="559980"/>
    <x v="1"/>
    <s v="Si"/>
  </r>
  <r>
    <x v="6"/>
    <x v="82"/>
    <x v="0"/>
    <n v="2"/>
    <n v="4200"/>
    <n v="8400"/>
    <x v="1"/>
    <s v="Si"/>
  </r>
  <r>
    <x v="14"/>
    <x v="83"/>
    <x v="0"/>
    <n v="12"/>
    <n v="20100"/>
    <n v="241200"/>
    <x v="1"/>
    <s v="Si"/>
  </r>
  <r>
    <x v="14"/>
    <x v="84"/>
    <x v="0"/>
    <n v="78"/>
    <n v="10000"/>
    <n v="780000"/>
    <x v="0"/>
    <s v="Si"/>
  </r>
  <r>
    <x v="14"/>
    <x v="85"/>
    <x v="6"/>
    <n v="1"/>
    <n v="10500"/>
    <n v="10500"/>
    <x v="1"/>
    <s v="Si"/>
  </r>
  <r>
    <x v="14"/>
    <x v="86"/>
    <x v="0"/>
    <n v="12"/>
    <n v="11000"/>
    <n v="132000"/>
    <x v="1"/>
    <s v="Si"/>
  </r>
  <r>
    <x v="14"/>
    <x v="87"/>
    <x v="0"/>
    <n v="96"/>
    <n v="1263"/>
    <n v="121248"/>
    <x v="1"/>
    <s v="Si"/>
  </r>
  <r>
    <x v="14"/>
    <x v="88"/>
    <x v="0"/>
    <n v="30"/>
    <n v="5151"/>
    <n v="154530"/>
    <x v="1"/>
    <s v="Si"/>
  </r>
  <r>
    <x v="15"/>
    <x v="89"/>
    <x v="0"/>
    <n v="6"/>
    <n v="15200"/>
    <n v="91200"/>
    <x v="1"/>
    <s v="Si"/>
  </r>
  <r>
    <x v="15"/>
    <x v="90"/>
    <x v="0"/>
    <n v="6"/>
    <n v="69200"/>
    <n v="415200"/>
    <x v="1"/>
    <s v="Si"/>
  </r>
  <r>
    <x v="15"/>
    <x v="91"/>
    <x v="0"/>
    <n v="15"/>
    <n v="5900"/>
    <n v="88500"/>
    <x v="1"/>
    <s v="Si"/>
  </r>
  <r>
    <x v="16"/>
    <x v="92"/>
    <x v="6"/>
    <n v="2"/>
    <n v="750000"/>
    <n v="1500000"/>
    <x v="0"/>
    <s v="Si"/>
  </r>
  <r>
    <x v="16"/>
    <x v="93"/>
    <x v="0"/>
    <n v="3"/>
    <n v="200000"/>
    <n v="600000"/>
    <x v="1"/>
    <s v="No"/>
  </r>
  <r>
    <x v="16"/>
    <x v="94"/>
    <x v="0"/>
    <n v="1"/>
    <n v="300000"/>
    <n v="300000"/>
    <x v="1"/>
    <s v="No"/>
  </r>
  <r>
    <x v="16"/>
    <x v="95"/>
    <x v="0"/>
    <n v="1"/>
    <n v="100000"/>
    <n v="100000"/>
    <x v="1"/>
    <s v="No"/>
  </r>
  <r>
    <x v="16"/>
    <x v="96"/>
    <x v="6"/>
    <n v="3"/>
    <n v="1900000"/>
    <n v="5700000"/>
    <x v="1"/>
    <s v="No"/>
  </r>
  <r>
    <x v="16"/>
    <x v="97"/>
    <x v="0"/>
    <n v="2"/>
    <n v="150000"/>
    <n v="300000"/>
    <x v="1"/>
    <s v="No"/>
  </r>
  <r>
    <x v="16"/>
    <x v="98"/>
    <x v="0"/>
    <n v="2"/>
    <n v="500000"/>
    <n v="1000000"/>
    <x v="1"/>
    <s v="No"/>
  </r>
  <r>
    <x v="16"/>
    <x v="99"/>
    <x v="6"/>
    <n v="80"/>
    <n v="22000"/>
    <n v="1760000"/>
    <x v="1"/>
    <s v="No"/>
  </r>
  <r>
    <x v="16"/>
    <x v="100"/>
    <x v="0"/>
    <n v="1"/>
    <n v="120000"/>
    <n v="120000"/>
    <x v="0"/>
    <s v="Si"/>
  </r>
  <r>
    <x v="11"/>
    <x v="59"/>
    <x v="5"/>
    <m/>
    <s v=""/>
    <s v=""/>
    <x v="2"/>
    <s v=""/>
  </r>
  <r>
    <x v="16"/>
    <x v="101"/>
    <x v="0"/>
    <n v="2"/>
    <n v="100000"/>
    <n v="200000"/>
    <x v="1"/>
    <s v="Si"/>
  </r>
  <r>
    <x v="16"/>
    <x v="102"/>
    <x v="6"/>
    <n v="20"/>
    <n v="70000"/>
    <n v="1400000"/>
    <x v="1"/>
    <s v="No"/>
  </r>
  <r>
    <x v="16"/>
    <x v="103"/>
    <x v="0"/>
    <n v="1"/>
    <n v="25000"/>
    <n v="25000"/>
    <x v="1"/>
    <s v="No"/>
  </r>
  <r>
    <x v="16"/>
    <x v="104"/>
    <x v="6"/>
    <n v="1"/>
    <n v="16000"/>
    <n v="16000"/>
    <x v="1"/>
    <s v="No"/>
  </r>
  <r>
    <x v="3"/>
    <x v="105"/>
    <x v="0"/>
    <n v="1"/>
    <n v="14300"/>
    <n v="14300"/>
    <x v="1"/>
    <s v="Si"/>
  </r>
  <r>
    <x v="16"/>
    <x v="106"/>
    <x v="0"/>
    <n v="1"/>
    <n v="160000"/>
    <n v="160000"/>
    <x v="0"/>
    <s v="No"/>
  </r>
  <r>
    <x v="17"/>
    <x v="107"/>
    <x v="0"/>
    <n v="5"/>
    <n v="127000"/>
    <n v="635000"/>
    <x v="0"/>
    <s v="Si"/>
  </r>
  <r>
    <x v="17"/>
    <x v="108"/>
    <x v="0"/>
    <n v="3"/>
    <n v="362000"/>
    <n v="1086000"/>
    <x v="0"/>
    <s v="Si"/>
  </r>
  <r>
    <x v="17"/>
    <x v="109"/>
    <x v="0"/>
    <n v="4"/>
    <n v="122000"/>
    <n v="488000"/>
    <x v="0"/>
    <s v="Si"/>
  </r>
  <r>
    <x v="3"/>
    <x v="110"/>
    <x v="0"/>
    <n v="1"/>
    <n v="3350"/>
    <n v="3350"/>
    <x v="1"/>
    <s v="Si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7"/>
    <m/>
    <m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x v="0"/>
    <x v="0"/>
    <x v="0"/>
    <x v="0"/>
    <x v="0"/>
  </r>
  <r>
    <x v="0"/>
    <x v="1"/>
    <x v="1"/>
    <x v="1"/>
    <x v="0"/>
    <x v="0"/>
    <x v="1"/>
  </r>
  <r>
    <x v="0"/>
    <x v="1"/>
    <x v="2"/>
    <x v="2"/>
    <x v="0"/>
    <x v="0"/>
    <x v="2"/>
  </r>
  <r>
    <x v="0"/>
    <x v="1"/>
    <x v="3"/>
    <x v="3"/>
    <x v="0"/>
    <x v="0"/>
    <x v="3"/>
  </r>
  <r>
    <x v="0"/>
    <x v="1"/>
    <x v="4"/>
    <x v="4"/>
    <x v="0"/>
    <x v="0"/>
    <x v="4"/>
  </r>
  <r>
    <x v="0"/>
    <x v="1"/>
    <x v="5"/>
    <x v="5"/>
    <x v="0"/>
    <x v="0"/>
    <x v="5"/>
  </r>
  <r>
    <x v="0"/>
    <x v="1"/>
    <x v="6"/>
    <x v="6"/>
    <x v="0"/>
    <x v="0"/>
    <x v="6"/>
  </r>
  <r>
    <x v="0"/>
    <x v="1"/>
    <x v="7"/>
    <x v="7"/>
    <x v="0"/>
    <x v="0"/>
    <x v="7"/>
  </r>
  <r>
    <x v="0"/>
    <x v="1"/>
    <x v="8"/>
    <x v="8"/>
    <x v="0"/>
    <x v="0"/>
    <x v="8"/>
  </r>
  <r>
    <x v="0"/>
    <x v="1"/>
    <x v="9"/>
    <x v="9"/>
    <x v="1"/>
    <x v="0"/>
    <x v="9"/>
  </r>
  <r>
    <x v="0"/>
    <x v="2"/>
    <x v="10"/>
    <x v="10"/>
    <x v="0"/>
    <x v="0"/>
    <x v="10"/>
  </r>
  <r>
    <x v="0"/>
    <x v="3"/>
    <x v="11"/>
    <x v="11"/>
    <x v="0"/>
    <x v="1"/>
    <x v="11"/>
  </r>
  <r>
    <x v="0"/>
    <x v="1"/>
    <x v="12"/>
    <x v="12"/>
    <x v="0"/>
    <x v="0"/>
    <x v="12"/>
  </r>
  <r>
    <x v="0"/>
    <x v="2"/>
    <x v="13"/>
    <x v="13"/>
    <x v="2"/>
    <x v="0"/>
    <x v="13"/>
  </r>
  <r>
    <x v="0"/>
    <x v="2"/>
    <x v="14"/>
    <x v="14"/>
    <x v="2"/>
    <x v="0"/>
    <x v="14"/>
  </r>
  <r>
    <x v="0"/>
    <x v="1"/>
    <x v="15"/>
    <x v="15"/>
    <x v="2"/>
    <x v="0"/>
    <x v="15"/>
  </r>
  <r>
    <x v="0"/>
    <x v="1"/>
    <x v="16"/>
    <x v="16"/>
    <x v="2"/>
    <x v="0"/>
    <x v="16"/>
  </r>
  <r>
    <x v="0"/>
    <x v="1"/>
    <x v="17"/>
    <x v="17"/>
    <x v="2"/>
    <x v="0"/>
    <x v="17"/>
  </r>
  <r>
    <x v="0"/>
    <x v="1"/>
    <x v="18"/>
    <x v="18"/>
    <x v="2"/>
    <x v="0"/>
    <x v="18"/>
  </r>
  <r>
    <x v="0"/>
    <x v="2"/>
    <x v="19"/>
    <x v="19"/>
    <x v="2"/>
    <x v="0"/>
    <x v="19"/>
  </r>
  <r>
    <x v="0"/>
    <x v="2"/>
    <x v="19"/>
    <x v="20"/>
    <x v="2"/>
    <x v="0"/>
    <x v="19"/>
  </r>
  <r>
    <x v="0"/>
    <x v="0"/>
    <x v="20"/>
    <x v="21"/>
    <x v="2"/>
    <x v="0"/>
    <x v="20"/>
  </r>
  <r>
    <x v="0"/>
    <x v="1"/>
    <x v="15"/>
    <x v="22"/>
    <x v="2"/>
    <x v="0"/>
    <x v="15"/>
  </r>
  <r>
    <x v="0"/>
    <x v="1"/>
    <x v="21"/>
    <x v="23"/>
    <x v="2"/>
    <x v="0"/>
    <x v="21"/>
  </r>
  <r>
    <x v="1"/>
    <x v="1"/>
    <x v="3"/>
    <x v="3"/>
    <x v="0"/>
    <x v="0"/>
    <x v="3"/>
  </r>
  <r>
    <x v="1"/>
    <x v="1"/>
    <x v="4"/>
    <x v="4"/>
    <x v="0"/>
    <x v="0"/>
    <x v="4"/>
  </r>
  <r>
    <x v="1"/>
    <x v="1"/>
    <x v="6"/>
    <x v="6"/>
    <x v="0"/>
    <x v="0"/>
    <x v="6"/>
  </r>
  <r>
    <x v="1"/>
    <x v="1"/>
    <x v="8"/>
    <x v="8"/>
    <x v="0"/>
    <x v="0"/>
    <x v="8"/>
  </r>
  <r>
    <x v="1"/>
    <x v="1"/>
    <x v="9"/>
    <x v="9"/>
    <x v="1"/>
    <x v="0"/>
    <x v="9"/>
  </r>
  <r>
    <x v="1"/>
    <x v="2"/>
    <x v="13"/>
    <x v="13"/>
    <x v="2"/>
    <x v="0"/>
    <x v="13"/>
  </r>
  <r>
    <x v="1"/>
    <x v="2"/>
    <x v="14"/>
    <x v="14"/>
    <x v="2"/>
    <x v="0"/>
    <x v="14"/>
  </r>
  <r>
    <x v="1"/>
    <x v="1"/>
    <x v="16"/>
    <x v="16"/>
    <x v="2"/>
    <x v="0"/>
    <x v="16"/>
  </r>
  <r>
    <x v="1"/>
    <x v="1"/>
    <x v="17"/>
    <x v="17"/>
    <x v="2"/>
    <x v="0"/>
    <x v="17"/>
  </r>
  <r>
    <x v="1"/>
    <x v="1"/>
    <x v="18"/>
    <x v="18"/>
    <x v="2"/>
    <x v="0"/>
    <x v="18"/>
  </r>
  <r>
    <x v="1"/>
    <x v="2"/>
    <x v="19"/>
    <x v="19"/>
    <x v="2"/>
    <x v="0"/>
    <x v="19"/>
  </r>
  <r>
    <x v="1"/>
    <x v="2"/>
    <x v="19"/>
    <x v="20"/>
    <x v="2"/>
    <x v="0"/>
    <x v="19"/>
  </r>
  <r>
    <x v="1"/>
    <x v="0"/>
    <x v="20"/>
    <x v="21"/>
    <x v="2"/>
    <x v="0"/>
    <x v="20"/>
  </r>
  <r>
    <x v="1"/>
    <x v="1"/>
    <x v="15"/>
    <x v="22"/>
    <x v="2"/>
    <x v="0"/>
    <x v="15"/>
  </r>
  <r>
    <x v="1"/>
    <x v="1"/>
    <x v="21"/>
    <x v="23"/>
    <x v="2"/>
    <x v="0"/>
    <x v="21"/>
  </r>
  <r>
    <x v="2"/>
    <x v="1"/>
    <x v="22"/>
    <x v="24"/>
    <x v="3"/>
    <x v="0"/>
    <x v="22"/>
  </r>
  <r>
    <x v="2"/>
    <x v="1"/>
    <x v="23"/>
    <x v="25"/>
    <x v="3"/>
    <x v="0"/>
    <x v="23"/>
  </r>
  <r>
    <x v="2"/>
    <x v="1"/>
    <x v="15"/>
    <x v="26"/>
    <x v="2"/>
    <x v="0"/>
    <x v="15"/>
  </r>
  <r>
    <x v="3"/>
    <x v="4"/>
    <x v="24"/>
    <x v="27"/>
    <x v="4"/>
    <x v="0"/>
    <x v="24"/>
  </r>
  <r>
    <x v="3"/>
    <x v="1"/>
    <x v="16"/>
    <x v="28"/>
    <x v="4"/>
    <x v="0"/>
    <x v="16"/>
  </r>
  <r>
    <x v="3"/>
    <x v="5"/>
    <x v="25"/>
    <x v="29"/>
    <x v="4"/>
    <x v="0"/>
    <x v="16"/>
  </r>
  <r>
    <x v="3"/>
    <x v="1"/>
    <x v="26"/>
    <x v="30"/>
    <x v="4"/>
    <x v="0"/>
    <x v="25"/>
  </r>
  <r>
    <x v="3"/>
    <x v="5"/>
    <x v="27"/>
    <x v="31"/>
    <x v="4"/>
    <x v="0"/>
    <x v="26"/>
  </r>
  <r>
    <x v="3"/>
    <x v="5"/>
    <x v="28"/>
    <x v="32"/>
    <x v="4"/>
    <x v="0"/>
    <x v="27"/>
  </r>
  <r>
    <x v="3"/>
    <x v="2"/>
    <x v="29"/>
    <x v="33"/>
    <x v="4"/>
    <x v="0"/>
    <x v="28"/>
  </r>
  <r>
    <x v="3"/>
    <x v="6"/>
    <x v="30"/>
    <x v="34"/>
    <x v="4"/>
    <x v="0"/>
    <x v="29"/>
  </r>
  <r>
    <x v="3"/>
    <x v="2"/>
    <x v="31"/>
    <x v="35"/>
    <x v="4"/>
    <x v="0"/>
    <x v="30"/>
  </r>
  <r>
    <x v="3"/>
    <x v="1"/>
    <x v="32"/>
    <x v="36"/>
    <x v="4"/>
    <x v="0"/>
    <x v="31"/>
  </r>
  <r>
    <x v="3"/>
    <x v="1"/>
    <x v="33"/>
    <x v="37"/>
    <x v="4"/>
    <x v="2"/>
    <x v="32"/>
  </r>
  <r>
    <x v="3"/>
    <x v="1"/>
    <x v="33"/>
    <x v="38"/>
    <x v="4"/>
    <x v="2"/>
    <x v="32"/>
  </r>
  <r>
    <x v="3"/>
    <x v="7"/>
    <x v="34"/>
    <x v="39"/>
    <x v="4"/>
    <x v="2"/>
    <x v="33"/>
  </r>
  <r>
    <x v="3"/>
    <x v="0"/>
    <x v="18"/>
    <x v="40"/>
    <x v="4"/>
    <x v="0"/>
    <x v="34"/>
  </r>
  <r>
    <x v="3"/>
    <x v="2"/>
    <x v="35"/>
    <x v="41"/>
    <x v="4"/>
    <x v="0"/>
    <x v="35"/>
  </r>
  <r>
    <x v="3"/>
    <x v="8"/>
    <x v="36"/>
    <x v="42"/>
    <x v="4"/>
    <x v="0"/>
    <x v="36"/>
  </r>
  <r>
    <x v="3"/>
    <x v="1"/>
    <x v="37"/>
    <x v="43"/>
    <x v="4"/>
    <x v="0"/>
    <x v="37"/>
  </r>
  <r>
    <x v="3"/>
    <x v="1"/>
    <x v="38"/>
    <x v="44"/>
    <x v="4"/>
    <x v="2"/>
    <x v="38"/>
  </r>
  <r>
    <x v="3"/>
    <x v="1"/>
    <x v="38"/>
    <x v="45"/>
    <x v="4"/>
    <x v="2"/>
    <x v="38"/>
  </r>
  <r>
    <x v="3"/>
    <x v="1"/>
    <x v="15"/>
    <x v="46"/>
    <x v="4"/>
    <x v="0"/>
    <x v="15"/>
  </r>
  <r>
    <x v="3"/>
    <x v="1"/>
    <x v="39"/>
    <x v="47"/>
    <x v="4"/>
    <x v="0"/>
    <x v="39"/>
  </r>
  <r>
    <x v="3"/>
    <x v="1"/>
    <x v="13"/>
    <x v="48"/>
    <x v="4"/>
    <x v="0"/>
    <x v="34"/>
  </r>
  <r>
    <x v="3"/>
    <x v="1"/>
    <x v="17"/>
    <x v="49"/>
    <x v="4"/>
    <x v="0"/>
    <x v="17"/>
  </r>
  <r>
    <x v="3"/>
    <x v="1"/>
    <x v="40"/>
    <x v="50"/>
    <x v="4"/>
    <x v="0"/>
    <x v="40"/>
  </r>
  <r>
    <x v="3"/>
    <x v="9"/>
    <x v="41"/>
    <x v="51"/>
    <x v="4"/>
    <x v="0"/>
    <x v="34"/>
  </r>
  <r>
    <x v="3"/>
    <x v="10"/>
    <x v="42"/>
    <x v="52"/>
    <x v="4"/>
    <x v="0"/>
    <x v="41"/>
  </r>
  <r>
    <x v="3"/>
    <x v="11"/>
    <x v="43"/>
    <x v="53"/>
    <x v="5"/>
    <x v="0"/>
    <x v="42"/>
  </r>
  <r>
    <x v="3"/>
    <x v="3"/>
    <x v="44"/>
    <x v="54"/>
    <x v="5"/>
    <x v="0"/>
    <x v="15"/>
  </r>
  <r>
    <x v="3"/>
    <x v="1"/>
    <x v="16"/>
    <x v="55"/>
    <x v="5"/>
    <x v="0"/>
    <x v="16"/>
  </r>
  <r>
    <x v="3"/>
    <x v="1"/>
    <x v="13"/>
    <x v="48"/>
    <x v="4"/>
    <x v="0"/>
    <x v="34"/>
  </r>
  <r>
    <x v="3"/>
    <x v="1"/>
    <x v="13"/>
    <x v="48"/>
    <x v="4"/>
    <x v="0"/>
    <x v="34"/>
  </r>
  <r>
    <x v="4"/>
    <x v="1"/>
    <x v="45"/>
    <x v="56"/>
    <x v="6"/>
    <x v="3"/>
    <x v="43"/>
  </r>
  <r>
    <x v="4"/>
    <x v="1"/>
    <x v="46"/>
    <x v="57"/>
    <x v="6"/>
    <x v="4"/>
    <x v="44"/>
  </r>
  <r>
    <x v="4"/>
    <x v="1"/>
    <x v="47"/>
    <x v="58"/>
    <x v="6"/>
    <x v="4"/>
    <x v="45"/>
  </r>
  <r>
    <x v="4"/>
    <x v="1"/>
    <x v="48"/>
    <x v="59"/>
    <x v="6"/>
    <x v="4"/>
    <x v="46"/>
  </r>
  <r>
    <x v="4"/>
    <x v="1"/>
    <x v="49"/>
    <x v="60"/>
    <x v="6"/>
    <x v="4"/>
    <x v="47"/>
  </r>
  <r>
    <x v="4"/>
    <x v="1"/>
    <x v="3"/>
    <x v="61"/>
    <x v="6"/>
    <x v="0"/>
    <x v="3"/>
  </r>
  <r>
    <x v="5"/>
    <x v="12"/>
    <x v="50"/>
    <x v="62"/>
    <x v="7"/>
    <x v="1"/>
    <x v="48"/>
  </r>
  <r>
    <x v="6"/>
    <x v="13"/>
    <x v="51"/>
    <x v="62"/>
    <x v="7"/>
    <x v="1"/>
    <x v="48"/>
  </r>
  <r>
    <x v="7"/>
    <x v="14"/>
    <x v="52"/>
    <x v="62"/>
    <x v="7"/>
    <x v="1"/>
    <x v="48"/>
  </r>
  <r>
    <x v="8"/>
    <x v="15"/>
    <x v="53"/>
    <x v="62"/>
    <x v="7"/>
    <x v="1"/>
    <x v="48"/>
  </r>
  <r>
    <x v="9"/>
    <x v="7"/>
    <x v="54"/>
    <x v="62"/>
    <x v="7"/>
    <x v="1"/>
    <x v="48"/>
  </r>
  <r>
    <x v="10"/>
    <x v="1"/>
    <x v="55"/>
    <x v="63"/>
    <x v="8"/>
    <x v="5"/>
    <x v="49"/>
  </r>
  <r>
    <x v="11"/>
    <x v="1"/>
    <x v="56"/>
    <x v="64"/>
    <x v="8"/>
    <x v="5"/>
    <x v="50"/>
  </r>
  <r>
    <x v="12"/>
    <x v="1"/>
    <x v="57"/>
    <x v="65"/>
    <x v="8"/>
    <x v="5"/>
    <x v="51"/>
  </r>
  <r>
    <x v="13"/>
    <x v="1"/>
    <x v="58"/>
    <x v="66"/>
    <x v="8"/>
    <x v="5"/>
    <x v="52"/>
  </r>
  <r>
    <x v="14"/>
    <x v="1"/>
    <x v="59"/>
    <x v="67"/>
    <x v="8"/>
    <x v="5"/>
    <x v="53"/>
  </r>
  <r>
    <x v="15"/>
    <x v="1"/>
    <x v="57"/>
    <x v="68"/>
    <x v="8"/>
    <x v="5"/>
    <x v="51"/>
  </r>
  <r>
    <x v="16"/>
    <x v="1"/>
    <x v="60"/>
    <x v="69"/>
    <x v="8"/>
    <x v="5"/>
    <x v="54"/>
  </r>
  <r>
    <x v="17"/>
    <x v="1"/>
    <x v="61"/>
    <x v="70"/>
    <x v="8"/>
    <x v="5"/>
    <x v="55"/>
  </r>
  <r>
    <x v="18"/>
    <x v="1"/>
    <x v="62"/>
    <x v="71"/>
    <x v="8"/>
    <x v="5"/>
    <x v="56"/>
  </r>
  <r>
    <x v="19"/>
    <x v="1"/>
    <x v="63"/>
    <x v="72"/>
    <x v="8"/>
    <x v="5"/>
    <x v="57"/>
  </r>
  <r>
    <x v="20"/>
    <x v="2"/>
    <x v="64"/>
    <x v="73"/>
    <x v="9"/>
    <x v="0"/>
    <x v="16"/>
  </r>
  <r>
    <x v="20"/>
    <x v="2"/>
    <x v="41"/>
    <x v="74"/>
    <x v="9"/>
    <x v="0"/>
    <x v="15"/>
  </r>
  <r>
    <x v="20"/>
    <x v="2"/>
    <x v="65"/>
    <x v="75"/>
    <x v="9"/>
    <x v="0"/>
    <x v="37"/>
  </r>
  <r>
    <x v="20"/>
    <x v="2"/>
    <x v="66"/>
    <x v="76"/>
    <x v="9"/>
    <x v="0"/>
    <x v="58"/>
  </r>
  <r>
    <x v="21"/>
    <x v="16"/>
    <x v="18"/>
    <x v="77"/>
    <x v="10"/>
    <x v="0"/>
    <x v="13"/>
  </r>
  <r>
    <x v="21"/>
    <x v="17"/>
    <x v="67"/>
    <x v="78"/>
    <x v="10"/>
    <x v="0"/>
    <x v="59"/>
  </r>
  <r>
    <x v="21"/>
    <x v="1"/>
    <x v="68"/>
    <x v="79"/>
    <x v="10"/>
    <x v="0"/>
    <x v="60"/>
  </r>
  <r>
    <x v="21"/>
    <x v="18"/>
    <x v="69"/>
    <x v="80"/>
    <x v="10"/>
    <x v="0"/>
    <x v="31"/>
  </r>
  <r>
    <x v="21"/>
    <x v="1"/>
    <x v="70"/>
    <x v="81"/>
    <x v="10"/>
    <x v="0"/>
    <x v="61"/>
  </r>
  <r>
    <x v="21"/>
    <x v="18"/>
    <x v="71"/>
    <x v="82"/>
    <x v="10"/>
    <x v="0"/>
    <x v="62"/>
  </r>
  <r>
    <x v="21"/>
    <x v="1"/>
    <x v="72"/>
    <x v="83"/>
    <x v="10"/>
    <x v="0"/>
    <x v="63"/>
  </r>
  <r>
    <x v="21"/>
    <x v="19"/>
    <x v="73"/>
    <x v="84"/>
    <x v="10"/>
    <x v="0"/>
    <x v="64"/>
  </r>
  <r>
    <x v="21"/>
    <x v="1"/>
    <x v="74"/>
    <x v="85"/>
    <x v="10"/>
    <x v="4"/>
    <x v="65"/>
  </r>
  <r>
    <x v="21"/>
    <x v="16"/>
    <x v="75"/>
    <x v="86"/>
    <x v="10"/>
    <x v="0"/>
    <x v="37"/>
  </r>
  <r>
    <x v="21"/>
    <x v="1"/>
    <x v="25"/>
    <x v="87"/>
    <x v="10"/>
    <x v="6"/>
    <x v="66"/>
  </r>
  <r>
    <x v="21"/>
    <x v="2"/>
    <x v="76"/>
    <x v="88"/>
    <x v="10"/>
    <x v="0"/>
    <x v="67"/>
  </r>
  <r>
    <x v="21"/>
    <x v="20"/>
    <x v="77"/>
    <x v="89"/>
    <x v="10"/>
    <x v="0"/>
    <x v="68"/>
  </r>
  <r>
    <x v="21"/>
    <x v="2"/>
    <x v="39"/>
    <x v="90"/>
    <x v="10"/>
    <x v="0"/>
    <x v="36"/>
  </r>
  <r>
    <x v="21"/>
    <x v="1"/>
    <x v="3"/>
    <x v="91"/>
    <x v="10"/>
    <x v="0"/>
    <x v="3"/>
  </r>
  <r>
    <x v="21"/>
    <x v="21"/>
    <x v="78"/>
    <x v="92"/>
    <x v="10"/>
    <x v="0"/>
    <x v="69"/>
  </r>
  <r>
    <x v="21"/>
    <x v="13"/>
    <x v="79"/>
    <x v="93"/>
    <x v="10"/>
    <x v="0"/>
    <x v="69"/>
  </r>
  <r>
    <x v="21"/>
    <x v="11"/>
    <x v="80"/>
    <x v="94"/>
    <x v="10"/>
    <x v="0"/>
    <x v="70"/>
  </r>
  <r>
    <x v="21"/>
    <x v="13"/>
    <x v="81"/>
    <x v="95"/>
    <x v="10"/>
    <x v="0"/>
    <x v="71"/>
  </r>
  <r>
    <x v="22"/>
    <x v="1"/>
    <x v="16"/>
    <x v="73"/>
    <x v="9"/>
    <x v="0"/>
    <x v="16"/>
  </r>
  <r>
    <x v="22"/>
    <x v="1"/>
    <x v="15"/>
    <x v="74"/>
    <x v="9"/>
    <x v="0"/>
    <x v="15"/>
  </r>
  <r>
    <x v="22"/>
    <x v="1"/>
    <x v="37"/>
    <x v="75"/>
    <x v="9"/>
    <x v="0"/>
    <x v="37"/>
  </r>
  <r>
    <x v="22"/>
    <x v="1"/>
    <x v="82"/>
    <x v="76"/>
    <x v="9"/>
    <x v="0"/>
    <x v="58"/>
  </r>
  <r>
    <x v="22"/>
    <x v="1"/>
    <x v="31"/>
    <x v="96"/>
    <x v="11"/>
    <x v="0"/>
    <x v="36"/>
  </r>
  <r>
    <x v="22"/>
    <x v="2"/>
    <x v="83"/>
    <x v="80"/>
    <x v="10"/>
    <x v="0"/>
    <x v="31"/>
  </r>
  <r>
    <x v="22"/>
    <x v="2"/>
    <x v="84"/>
    <x v="82"/>
    <x v="10"/>
    <x v="0"/>
    <x v="62"/>
  </r>
  <r>
    <x v="22"/>
    <x v="0"/>
    <x v="85"/>
    <x v="84"/>
    <x v="10"/>
    <x v="0"/>
    <x v="64"/>
  </r>
  <r>
    <x v="22"/>
    <x v="0"/>
    <x v="86"/>
    <x v="93"/>
    <x v="10"/>
    <x v="0"/>
    <x v="69"/>
  </r>
  <r>
    <x v="22"/>
    <x v="9"/>
    <x v="87"/>
    <x v="95"/>
    <x v="10"/>
    <x v="0"/>
    <x v="71"/>
  </r>
  <r>
    <x v="23"/>
    <x v="1"/>
    <x v="88"/>
    <x v="97"/>
    <x v="12"/>
    <x v="0"/>
    <x v="72"/>
  </r>
  <r>
    <x v="23"/>
    <x v="1"/>
    <x v="89"/>
    <x v="98"/>
    <x v="12"/>
    <x v="0"/>
    <x v="73"/>
  </r>
  <r>
    <x v="23"/>
    <x v="1"/>
    <x v="89"/>
    <x v="99"/>
    <x v="12"/>
    <x v="0"/>
    <x v="73"/>
  </r>
  <r>
    <x v="23"/>
    <x v="1"/>
    <x v="89"/>
    <x v="100"/>
    <x v="12"/>
    <x v="0"/>
    <x v="73"/>
  </r>
  <r>
    <x v="23"/>
    <x v="1"/>
    <x v="90"/>
    <x v="101"/>
    <x v="12"/>
    <x v="0"/>
    <x v="74"/>
  </r>
  <r>
    <x v="23"/>
    <x v="1"/>
    <x v="91"/>
    <x v="102"/>
    <x v="12"/>
    <x v="0"/>
    <x v="75"/>
  </r>
  <r>
    <x v="23"/>
    <x v="1"/>
    <x v="92"/>
    <x v="103"/>
    <x v="12"/>
    <x v="6"/>
    <x v="76"/>
  </r>
  <r>
    <x v="23"/>
    <x v="1"/>
    <x v="93"/>
    <x v="104"/>
    <x v="12"/>
    <x v="0"/>
    <x v="77"/>
  </r>
  <r>
    <x v="23"/>
    <x v="1"/>
    <x v="94"/>
    <x v="105"/>
    <x v="12"/>
    <x v="0"/>
    <x v="78"/>
  </r>
  <r>
    <x v="23"/>
    <x v="2"/>
    <x v="89"/>
    <x v="106"/>
    <x v="12"/>
    <x v="0"/>
    <x v="3"/>
  </r>
  <r>
    <x v="23"/>
    <x v="1"/>
    <x v="45"/>
    <x v="107"/>
    <x v="12"/>
    <x v="0"/>
    <x v="43"/>
  </r>
  <r>
    <x v="24"/>
    <x v="1"/>
    <x v="95"/>
    <x v="108"/>
    <x v="13"/>
    <x v="0"/>
    <x v="79"/>
  </r>
  <r>
    <x v="25"/>
    <x v="1"/>
    <x v="96"/>
    <x v="109"/>
    <x v="13"/>
    <x v="0"/>
    <x v="80"/>
  </r>
  <r>
    <x v="26"/>
    <x v="1"/>
    <x v="97"/>
    <x v="110"/>
    <x v="13"/>
    <x v="0"/>
    <x v="81"/>
  </r>
  <r>
    <x v="27"/>
    <x v="1"/>
    <x v="98"/>
    <x v="111"/>
    <x v="13"/>
    <x v="0"/>
    <x v="82"/>
  </r>
  <r>
    <x v="28"/>
    <x v="1"/>
    <x v="99"/>
    <x v="112"/>
    <x v="13"/>
    <x v="0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24B1D-107F-4991-B048-E8BA23D4CBE4}" name="TablaDinámica3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0:L30" firstHeaderRow="2" firstDataRow="2" firstDataCol="6"/>
  <pivotFields count="7">
    <pivotField compact="0" outline="0" showAll="0">
      <items count="30">
        <item h="1" x="0"/>
        <item h="1" x="1"/>
        <item h="1" x="2"/>
        <item h="1" x="24"/>
        <item h="1" x="25"/>
        <item h="1" x="26"/>
        <item h="1" x="27"/>
        <item h="1" x="28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t="default"/>
      </items>
    </pivotField>
    <pivotField axis="axisRow" compact="0" outline="0" showAll="0" defaultSubtotal="0">
      <items count="22">
        <item x="1"/>
        <item x="2"/>
        <item x="5"/>
        <item x="0"/>
        <item x="9"/>
        <item x="20"/>
        <item x="11"/>
        <item x="21"/>
        <item x="13"/>
        <item x="17"/>
        <item x="4"/>
        <item x="16"/>
        <item x="7"/>
        <item x="15"/>
        <item x="12"/>
        <item x="10"/>
        <item x="3"/>
        <item x="14"/>
        <item x="18"/>
        <item x="6"/>
        <item x="19"/>
        <item x="8"/>
      </items>
    </pivotField>
    <pivotField axis="axisRow" compact="0" outline="0" showAll="0">
      <items count="103">
        <item m="1" x="100"/>
        <item x="49"/>
        <item x="46"/>
        <item x="43"/>
        <item x="94"/>
        <item x="24"/>
        <item x="15"/>
        <item x="25"/>
        <item x="27"/>
        <item x="28"/>
        <item x="29"/>
        <item x="83"/>
        <item x="33"/>
        <item x="18"/>
        <item x="37"/>
        <item x="38"/>
        <item x="39"/>
        <item x="17"/>
        <item x="40"/>
        <item x="41"/>
        <item x="16"/>
        <item x="45"/>
        <item x="1"/>
        <item x="3"/>
        <item x="9"/>
        <item x="21"/>
        <item x="72"/>
        <item x="74"/>
        <item x="77"/>
        <item x="89"/>
        <item x="93"/>
        <item x="59"/>
        <item x="64"/>
        <item x="92"/>
        <item x="90"/>
        <item x="54"/>
        <item x="65"/>
        <item x="66"/>
        <item x="26"/>
        <item x="79"/>
        <item x="69"/>
        <item x="47"/>
        <item x="48"/>
        <item x="51"/>
        <item m="1" x="101"/>
        <item x="88"/>
        <item x="2"/>
        <item x="82"/>
        <item x="70"/>
        <item x="19"/>
        <item x="13"/>
        <item x="14"/>
        <item x="20"/>
        <item x="30"/>
        <item x="50"/>
        <item x="35"/>
        <item x="52"/>
        <item x="91"/>
        <item x="31"/>
        <item x="63"/>
        <item x="34"/>
        <item x="56"/>
        <item x="32"/>
        <item x="68"/>
        <item x="60"/>
        <item x="10"/>
        <item x="6"/>
        <item x="76"/>
        <item x="7"/>
        <item x="5"/>
        <item x="61"/>
        <item x="11"/>
        <item x="12"/>
        <item x="0"/>
        <item x="4"/>
        <item x="57"/>
        <item x="58"/>
        <item x="55"/>
        <item x="62"/>
        <item x="78"/>
        <item x="73"/>
        <item x="71"/>
        <item x="75"/>
        <item x="81"/>
        <item x="67"/>
        <item x="80"/>
        <item x="42"/>
        <item x="53"/>
        <item x="86"/>
        <item x="84"/>
        <item x="87"/>
        <item x="85"/>
        <item x="22"/>
        <item x="23"/>
        <item x="95"/>
        <item x="96"/>
        <item x="97"/>
        <item x="98"/>
        <item x="99"/>
        <item x="36"/>
        <item x="44"/>
        <item x="8"/>
        <item t="default"/>
      </items>
    </pivotField>
    <pivotField axis="axisRow" compact="0" outline="0" showAll="0" sortType="ascending" defaultSubtotal="0">
      <items count="113">
        <item x="27"/>
        <item x="0"/>
        <item x="97"/>
        <item x="28"/>
        <item x="29"/>
        <item x="56"/>
        <item x="1"/>
        <item x="30"/>
        <item x="73"/>
        <item x="98"/>
        <item x="31"/>
        <item x="32"/>
        <item x="33"/>
        <item x="34"/>
        <item x="35"/>
        <item x="99"/>
        <item x="100"/>
        <item x="77"/>
        <item x="74"/>
        <item x="78"/>
        <item x="36"/>
        <item x="79"/>
        <item x="13"/>
        <item x="2"/>
        <item x="37"/>
        <item x="38"/>
        <item x="39"/>
        <item x="101"/>
        <item x="108"/>
        <item x="109"/>
        <item x="110"/>
        <item x="111"/>
        <item x="112"/>
        <item x="14"/>
        <item x="80"/>
        <item x="15"/>
        <item x="26"/>
        <item x="16"/>
        <item x="40"/>
        <item x="102"/>
        <item x="41"/>
        <item x="42"/>
        <item x="43"/>
        <item x="3"/>
        <item x="81"/>
        <item x="4"/>
        <item x="103"/>
        <item x="104"/>
        <item x="105"/>
        <item x="10"/>
        <item x="44"/>
        <item x="45"/>
        <item x="46"/>
        <item x="106"/>
        <item x="82"/>
        <item x="53"/>
        <item x="54"/>
        <item x="47"/>
        <item x="48"/>
        <item x="17"/>
        <item x="25"/>
        <item x="107"/>
        <item x="24"/>
        <item x="9"/>
        <item x="55"/>
        <item x="5"/>
        <item x="75"/>
        <item x="83"/>
        <item x="6"/>
        <item x="84"/>
        <item x="85"/>
        <item x="8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11"/>
        <item x="76"/>
        <item x="7"/>
        <item x="49"/>
        <item x="61"/>
        <item x="87"/>
        <item x="88"/>
        <item x="18"/>
        <item x="89"/>
        <item x="90"/>
        <item x="50"/>
        <item x="51"/>
        <item x="19"/>
        <item x="20"/>
        <item x="12"/>
        <item x="96"/>
        <item x="91"/>
        <item x="21"/>
        <item x="22"/>
        <item x="23"/>
        <item x="52"/>
        <item x="92"/>
        <item x="93"/>
        <item x="94"/>
        <item x="95"/>
        <item x="8"/>
      </items>
    </pivotField>
    <pivotField axis="axisRow" compact="0" outline="0" showAll="0" sortType="ascending" defaultSubtotal="0">
      <items count="14">
        <item x="8"/>
        <item x="0"/>
        <item x="3"/>
        <item x="13"/>
        <item x="4"/>
        <item x="1"/>
        <item x="5"/>
        <item x="6"/>
        <item x="7"/>
        <item x="9"/>
        <item x="11"/>
        <item x="2"/>
        <item x="10"/>
        <item x="12"/>
      </items>
    </pivotField>
    <pivotField axis="axisRow" compact="0" outline="0" showAll="0" defaultSubtotal="0">
      <items count="7">
        <item x="3"/>
        <item x="6"/>
        <item x="2"/>
        <item x="4"/>
        <item x="0"/>
        <item x="1"/>
        <item x="5"/>
      </items>
    </pivotField>
    <pivotField axis="axisRow" compact="0" numFmtId="42" outline="0" showAll="0" defaultSubtotal="0">
      <items count="84">
        <item x="24"/>
        <item x="14"/>
        <item x="33"/>
        <item x="41"/>
        <item x="29"/>
        <item x="13"/>
        <item x="61"/>
        <item x="31"/>
        <item x="59"/>
        <item x="38"/>
        <item x="30"/>
        <item x="19"/>
        <item x="34"/>
        <item x="28"/>
        <item x="35"/>
        <item x="68"/>
        <item x="62"/>
        <item x="36"/>
        <item x="60"/>
        <item x="21"/>
        <item x="16"/>
        <item x="15"/>
        <item x="69"/>
        <item x="32"/>
        <item x="39"/>
        <item x="71"/>
        <item x="18"/>
        <item x="1"/>
        <item x="42"/>
        <item x="25"/>
        <item x="17"/>
        <item x="66"/>
        <item x="37"/>
        <item x="70"/>
        <item x="48"/>
        <item x="26"/>
        <item x="40"/>
        <item x="9"/>
        <item x="27"/>
        <item x="65"/>
        <item x="63"/>
        <item x="43"/>
        <item x="47"/>
        <item x="2"/>
        <item x="3"/>
        <item x="44"/>
        <item x="45"/>
        <item x="58"/>
        <item x="46"/>
        <item x="73"/>
        <item x="72"/>
        <item x="77"/>
        <item x="78"/>
        <item x="57"/>
        <item x="20"/>
        <item x="75"/>
        <item x="64"/>
        <item x="10"/>
        <item x="11"/>
        <item x="6"/>
        <item x="67"/>
        <item x="7"/>
        <item x="5"/>
        <item x="74"/>
        <item x="12"/>
        <item x="0"/>
        <item x="76"/>
        <item x="4"/>
        <item x="50"/>
        <item x="51"/>
        <item x="52"/>
        <item x="53"/>
        <item x="49"/>
        <item x="54"/>
        <item x="55"/>
        <item x="56"/>
        <item x="22"/>
        <item x="23"/>
        <item x="79"/>
        <item x="80"/>
        <item x="81"/>
        <item x="82"/>
        <item x="83"/>
        <item x="8"/>
      </items>
    </pivotField>
  </pivotFields>
  <rowFields count="6">
    <field x="4"/>
    <field x="3"/>
    <field x="5"/>
    <field x="1"/>
    <field x="6"/>
    <field x="2"/>
  </rowFields>
  <rowItems count="19">
    <i>
      <x v="12"/>
      <x v="17"/>
      <x v="4"/>
      <x v="11"/>
      <x v="5"/>
      <x v="13"/>
    </i>
    <i r="1">
      <x v="19"/>
      <x v="4"/>
      <x v="9"/>
      <x v="8"/>
      <x v="84"/>
    </i>
    <i r="1">
      <x v="21"/>
      <x v="4"/>
      <x/>
      <x v="18"/>
      <x v="63"/>
    </i>
    <i r="1">
      <x v="34"/>
      <x v="4"/>
      <x v="18"/>
      <x v="7"/>
      <x v="40"/>
    </i>
    <i r="1">
      <x v="44"/>
      <x v="4"/>
      <x/>
      <x v="6"/>
      <x v="48"/>
    </i>
    <i r="1">
      <x v="54"/>
      <x v="4"/>
      <x v="18"/>
      <x v="16"/>
      <x v="81"/>
    </i>
    <i r="1">
      <x v="67"/>
      <x v="4"/>
      <x/>
      <x v="40"/>
      <x v="26"/>
    </i>
    <i r="1">
      <x v="69"/>
      <x v="4"/>
      <x v="20"/>
      <x v="56"/>
      <x v="80"/>
    </i>
    <i r="1">
      <x v="70"/>
      <x v="3"/>
      <x/>
      <x v="39"/>
      <x v="27"/>
    </i>
    <i r="1">
      <x v="71"/>
      <x v="4"/>
      <x v="11"/>
      <x v="32"/>
      <x v="82"/>
    </i>
    <i r="1">
      <x v="92"/>
      <x v="1"/>
      <x/>
      <x v="31"/>
      <x v="7"/>
    </i>
    <i r="1">
      <x v="93"/>
      <x v="4"/>
      <x v="1"/>
      <x v="60"/>
      <x v="67"/>
    </i>
    <i r="1">
      <x v="95"/>
      <x v="4"/>
      <x v="5"/>
      <x v="15"/>
      <x v="28"/>
    </i>
    <i r="1">
      <x v="96"/>
      <x v="4"/>
      <x v="1"/>
      <x v="17"/>
      <x v="16"/>
    </i>
    <i r="1">
      <x v="103"/>
      <x v="4"/>
      <x/>
      <x v="44"/>
      <x v="23"/>
    </i>
    <i r="1">
      <x v="108"/>
      <x v="4"/>
      <x v="7"/>
      <x v="22"/>
      <x v="79"/>
    </i>
    <i r="1">
      <x v="109"/>
      <x v="4"/>
      <x v="8"/>
      <x v="22"/>
      <x v="39"/>
    </i>
    <i r="1">
      <x v="110"/>
      <x v="4"/>
      <x v="6"/>
      <x v="33"/>
      <x v="85"/>
    </i>
    <i r="1">
      <x v="111"/>
      <x v="4"/>
      <x v="8"/>
      <x v="25"/>
      <x v="83"/>
    </i>
  </rowItems>
  <colItems count="1">
    <i/>
  </colItems>
  <formats count="33">
    <format dxfId="191">
      <pivotArea dataOnly="0" labelOnly="1" outline="0" fieldPosition="0">
        <references count="1">
          <reference field="2" count="0"/>
        </references>
      </pivotArea>
    </format>
    <format dxfId="190">
      <pivotArea dataOnly="0" labelOnly="1" outline="0" fieldPosition="0">
        <references count="1">
          <reference field="2" count="0"/>
        </references>
      </pivotArea>
    </format>
    <format dxfId="189">
      <pivotArea dataOnly="0" labelOnly="1" outline="0" fieldPosition="0">
        <references count="1">
          <reference field="6" count="0"/>
        </references>
      </pivotArea>
    </format>
    <format dxfId="188">
      <pivotArea dataOnly="0" labelOnly="1" outline="0" fieldPosition="0">
        <references count="1">
          <reference field="1" count="0"/>
        </references>
      </pivotArea>
    </format>
    <format dxfId="187">
      <pivotArea dataOnly="0" labelOnly="1" outline="0" fieldPosition="0">
        <references count="1">
          <reference field="5" count="0"/>
        </references>
      </pivotArea>
    </format>
    <format dxfId="186">
      <pivotArea dataOnly="0" labelOnly="1" outline="0" fieldPosition="0">
        <references count="1">
          <reference field="5" count="0"/>
        </references>
      </pivotArea>
    </format>
    <format dxfId="185">
      <pivotArea dataOnly="0" labelOnly="1" outline="0" fieldPosition="0">
        <references count="1">
          <reference field="1" count="0"/>
        </references>
      </pivotArea>
    </format>
    <format dxfId="184">
      <pivotArea dataOnly="0" labelOnly="1" outline="0" fieldPosition="0">
        <references count="1">
          <reference field="4" count="0"/>
        </references>
      </pivotArea>
    </format>
    <format dxfId="183">
      <pivotArea dataOnly="0" labelOnly="1" outline="0" fieldPosition="0">
        <references count="1">
          <reference field="3" count="0"/>
        </references>
      </pivotArea>
    </format>
    <format dxfId="182">
      <pivotArea dataOnly="0" labelOnly="1" outline="0" fieldPosition="0">
        <references count="1">
          <reference field="4" count="0"/>
        </references>
      </pivotArea>
    </format>
    <format dxfId="181">
      <pivotArea dataOnly="0" labelOnly="1" outline="0" fieldPosition="0">
        <references count="2">
          <reference field="3" count="2">
            <x v="23"/>
            <x v="112"/>
          </reference>
          <reference field="4" count="1" selected="0">
            <x v="1"/>
          </reference>
        </references>
      </pivotArea>
    </format>
    <format dxfId="180">
      <pivotArea dataOnly="0" labelOnly="1" outline="0" fieldPosition="0">
        <references count="2">
          <reference field="3" count="3">
            <x v="23"/>
            <x v="68"/>
            <x v="112"/>
          </reference>
          <reference field="4" count="1" selected="0">
            <x v="1"/>
          </reference>
        </references>
      </pivotArea>
    </format>
    <format dxfId="179">
      <pivotArea dataOnly="0" labelOnly="1" outline="0" offset="IV1:IV5" fieldPosition="0">
        <references count="3">
          <reference field="3" count="1" selected="0">
            <x v="23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8">
      <pivotArea dataOnly="0" labelOnly="1" outline="0" fieldPosition="0">
        <references count="4">
          <reference field="1" count="1">
            <x v="1"/>
          </reference>
          <reference field="3" count="1" selected="0">
            <x v="23"/>
          </reference>
          <reference field="4" count="1" selected="0">
            <x v="1"/>
          </reference>
          <reference field="5" count="1" selected="0">
            <x v="4"/>
          </reference>
        </references>
      </pivotArea>
    </format>
    <format dxfId="177">
      <pivotArea dataOnly="0" labelOnly="1" outline="0" fieldPosition="0">
        <references count="2">
          <reference field="3" count="5">
            <x v="22"/>
            <x v="33"/>
            <x v="37"/>
            <x v="59"/>
            <x v="94"/>
          </reference>
          <reference field="4" count="1" selected="0">
            <x v="11"/>
          </reference>
        </references>
      </pivotArea>
    </format>
    <format dxfId="176">
      <pivotArea dataOnly="0" labelOnly="1" outline="0" offset="IV10:IV14" fieldPosition="0">
        <references count="3">
          <reference field="3" count="1" selected="0">
            <x v="68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5">
      <pivotArea dataOnly="0" labelOnly="1" outline="0" fieldPosition="0">
        <references count="4">
          <reference field="1" count="1">
            <x v="1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4">
      <pivotArea dataOnly="0" labelOnly="1" outline="0" offset="IV256" fieldPosition="0">
        <references count="2">
          <reference field="3" count="1">
            <x v="22"/>
          </reference>
          <reference field="4" count="1" selected="0">
            <x v="11"/>
          </reference>
        </references>
      </pivotArea>
    </format>
    <format dxfId="173">
      <pivotArea dataOnly="0" labelOnly="1" outline="0" fieldPosition="0">
        <references count="2">
          <reference field="3" count="6">
            <x v="33"/>
            <x v="35"/>
            <x v="37"/>
            <x v="59"/>
            <x v="94"/>
            <x v="99"/>
          </reference>
          <reference field="4" count="1" selected="0">
            <x v="11"/>
          </reference>
        </references>
      </pivotArea>
    </format>
    <format dxfId="172">
      <pivotArea dataOnly="0" labelOnly="1" outline="0" fieldPosition="0">
        <references count="4">
          <reference field="1" count="1">
            <x v="7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1">
      <pivotArea dataOnly="0" labelOnly="1" outline="0" fieldPosition="0">
        <references count="4">
          <reference field="1" count="2">
            <x v="1"/>
            <x v="3"/>
          </reference>
          <reference field="3" count="1" selected="0">
            <x v="3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5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7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59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94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6">
      <pivotArea dataOnly="0" labelOnly="1" outline="0" fieldPosition="0">
        <references count="4">
          <reference field="1" count="2">
            <x v="3"/>
            <x v="11"/>
          </reference>
          <reference field="3" count="1" selected="0">
            <x v="99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5">
      <pivotArea dataOnly="0" labelOnly="1" outline="0" offset="IV256" fieldPosition="0">
        <references count="5">
          <reference field="1" count="1" selected="0">
            <x v="1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1"/>
          </reference>
          <reference field="3" count="1" selected="0">
            <x v="33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5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1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7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0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59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30"/>
          </reference>
        </references>
      </pivotArea>
    </format>
    <format dxfId="160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94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6"/>
          </reference>
        </references>
      </pivotArea>
    </format>
    <format dxfId="159">
      <pivotArea dataOnly="0" labelOnly="1" outline="0" offset="IV1:IV3" fieldPosition="0">
        <references count="5">
          <reference field="1" count="1" selected="0">
            <x v="1"/>
          </reference>
          <reference field="3" count="1" selected="0">
            <x v="99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1"/>
          </reference>
        </references>
      </pivotArea>
    </format>
  </formats>
  <pivotTableStyleInfo name="PivotStyleMedium14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D3DB7-AB38-49E6-933B-491E93B7D28B}" name="TablaDinámica3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3:D126" firstHeaderRow="2" firstDataRow="2" firstDataCol="3"/>
  <pivotFields count="8">
    <pivotField axis="axisRow" compact="0" outline="0" showAll="0" sortType="ascending" defaultSubtotal="0">
      <items count="23">
        <item m="1" x="18"/>
        <item x="0"/>
        <item x="2"/>
        <item x="1"/>
        <item m="1" x="22"/>
        <item x="4"/>
        <item x="5"/>
        <item x="6"/>
        <item x="7"/>
        <item x="8"/>
        <item m="1" x="20"/>
        <item m="1" x="19"/>
        <item x="9"/>
        <item x="10"/>
        <item x="12"/>
        <item x="13"/>
        <item x="3"/>
        <item m="1" x="21"/>
        <item x="14"/>
        <item x="15"/>
        <item x="16"/>
        <item x="17"/>
        <item x="11"/>
      </items>
    </pivotField>
    <pivotField axis="axisRow" compact="0" outline="0" showAll="0" sortType="ascending" defaultSubtotal="0">
      <items count="191">
        <item x="44"/>
        <item m="1" x="189"/>
        <item x="14"/>
        <item x="50"/>
        <item x="97"/>
        <item m="1" x="152"/>
        <item x="24"/>
        <item x="25"/>
        <item x="106"/>
        <item x="52"/>
        <item m="1" x="116"/>
        <item x="26"/>
        <item x="63"/>
        <item m="1" x="133"/>
        <item x="80"/>
        <item m="1" x="153"/>
        <item x="27"/>
        <item m="1" x="154"/>
        <item x="28"/>
        <item m="1" x="119"/>
        <item x="29"/>
        <item x="48"/>
        <item x="95"/>
        <item x="101"/>
        <item m="1" x="173"/>
        <item m="1" x="157"/>
        <item x="73"/>
        <item m="1" x="112"/>
        <item x="61"/>
        <item m="1" x="172"/>
        <item m="1" x="182"/>
        <item x="87"/>
        <item m="1" x="120"/>
        <item m="1" x="127"/>
        <item m="1" x="190"/>
        <item x="1"/>
        <item x="71"/>
        <item x="30"/>
        <item x="15"/>
        <item m="1" x="121"/>
        <item m="1" x="122"/>
        <item x="31"/>
        <item x="100"/>
        <item x="0"/>
        <item m="1" x="169"/>
        <item m="1" x="151"/>
        <item x="23"/>
        <item m="1" x="147"/>
        <item x="67"/>
        <item x="74"/>
        <item x="6"/>
        <item x="18"/>
        <item x="7"/>
        <item x="32"/>
        <item m="1" x="188"/>
        <item m="1" x="134"/>
        <item m="1" x="137"/>
        <item x="47"/>
        <item x="33"/>
        <item x="34"/>
        <item m="1" x="174"/>
        <item m="1" x="146"/>
        <item x="16"/>
        <item x="91"/>
        <item m="1" x="128"/>
        <item m="1" x="184"/>
        <item m="1" x="117"/>
        <item x="104"/>
        <item x="93"/>
        <item x="94"/>
        <item m="1" x="180"/>
        <item x="60"/>
        <item m="1" x="123"/>
        <item m="1" x="124"/>
        <item x="35"/>
        <item x="3"/>
        <item m="1" x="135"/>
        <item x="75"/>
        <item x="45"/>
        <item x="46"/>
        <item x="36"/>
        <item x="37"/>
        <item x="82"/>
        <item x="8"/>
        <item m="1" x="170"/>
        <item x="20"/>
        <item x="103"/>
        <item x="22"/>
        <item m="1" x="179"/>
        <item x="51"/>
        <item x="38"/>
        <item x="19"/>
        <item m="1" x="162"/>
        <item x="96"/>
        <item x="65"/>
        <item m="1" x="129"/>
        <item m="1" x="111"/>
        <item m="1" x="142"/>
        <item x="21"/>
        <item m="1" x="177"/>
        <item m="1" x="150"/>
        <item x="13"/>
        <item m="1" x="148"/>
        <item m="1" x="130"/>
        <item m="1" x="131"/>
        <item x="86"/>
        <item x="83"/>
        <item x="89"/>
        <item x="90"/>
        <item m="1" x="114"/>
        <item m="1" x="125"/>
        <item x="53"/>
        <item m="1" x="156"/>
        <item x="55"/>
        <item x="57"/>
        <item x="54"/>
        <item x="58"/>
        <item m="1" x="113"/>
        <item x="5"/>
        <item m="1" x="115"/>
        <item m="1" x="136"/>
        <item x="9"/>
        <item m="1" x="118"/>
        <item m="1" x="138"/>
        <item x="98"/>
        <item m="1" x="168"/>
        <item m="1" x="181"/>
        <item x="62"/>
        <item m="1" x="171"/>
        <item x="64"/>
        <item x="10"/>
        <item x="84"/>
        <item x="39"/>
        <item x="56"/>
        <item x="85"/>
        <item m="1" x="132"/>
        <item m="1" x="183"/>
        <item m="1" x="149"/>
        <item m="1" x="176"/>
        <item x="72"/>
        <item x="76"/>
        <item x="77"/>
        <item m="1" x="158"/>
        <item m="1" x="175"/>
        <item m="1" x="155"/>
        <item x="40"/>
        <item x="41"/>
        <item x="17"/>
        <item x="66"/>
        <item x="69"/>
        <item x="4"/>
        <item x="78"/>
        <item x="68"/>
        <item m="1" x="126"/>
        <item x="105"/>
        <item x="110"/>
        <item m="1" x="178"/>
        <item x="43"/>
        <item x="92"/>
        <item x="70"/>
        <item m="1" x="143"/>
        <item x="108"/>
        <item m="1" x="163"/>
        <item m="1" x="164"/>
        <item m="1" x="185"/>
        <item m="1" x="165"/>
        <item m="1" x="187"/>
        <item m="1" x="186"/>
        <item x="107"/>
        <item m="1" x="141"/>
        <item x="109"/>
        <item m="1" x="145"/>
        <item m="1" x="139"/>
        <item m="1" x="140"/>
        <item m="1" x="166"/>
        <item m="1" x="144"/>
        <item x="102"/>
        <item x="99"/>
        <item m="1" x="167"/>
        <item x="42"/>
        <item x="88"/>
        <item x="79"/>
        <item x="11"/>
        <item m="1" x="159"/>
        <item m="1" x="160"/>
        <item x="81"/>
        <item m="1" x="161"/>
        <item x="2"/>
        <item x="12"/>
        <item x="49"/>
        <item x="59"/>
      </items>
    </pivotField>
    <pivotField axis="axisRow" compact="0" outline="0" showAll="0">
      <items count="11">
        <item x="5"/>
        <item x="0"/>
        <item x="7"/>
        <item x="1"/>
        <item m="1" x="9"/>
        <item x="2"/>
        <item x="3"/>
        <item x="4"/>
        <item x="6"/>
        <item m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</pivotFields>
  <rowFields count="3">
    <field x="0"/>
    <field x="1"/>
    <field x="2"/>
  </rowFields>
  <rowItems count="112">
    <i>
      <x v="1"/>
      <x v="35"/>
      <x v="1"/>
    </i>
    <i r="1">
      <x v="43"/>
      <x v="1"/>
    </i>
    <i r="1">
      <x v="75"/>
      <x v="1"/>
    </i>
    <i r="1">
      <x v="187"/>
      <x v="1"/>
    </i>
    <i>
      <x v="2"/>
      <x v="118"/>
      <x v="3"/>
    </i>
    <i>
      <x v="3"/>
      <x v="2"/>
      <x v="1"/>
    </i>
    <i r="1">
      <x v="38"/>
      <x v="1"/>
    </i>
    <i r="1">
      <x v="50"/>
      <x v="1"/>
    </i>
    <i r="1">
      <x v="52"/>
      <x v="1"/>
    </i>
    <i r="1">
      <x v="62"/>
      <x v="1"/>
    </i>
    <i r="1">
      <x v="83"/>
      <x v="1"/>
    </i>
    <i r="1">
      <x v="91"/>
      <x v="1"/>
    </i>
    <i r="1">
      <x v="101"/>
      <x v="1"/>
    </i>
    <i r="1">
      <x v="121"/>
      <x v="3"/>
    </i>
    <i r="1">
      <x v="130"/>
      <x v="1"/>
    </i>
    <i r="1">
      <x v="147"/>
      <x v="1"/>
    </i>
    <i r="1">
      <x v="150"/>
      <x v="1"/>
    </i>
    <i r="1">
      <x v="182"/>
      <x v="1"/>
    </i>
    <i r="1">
      <x v="188"/>
      <x v="1"/>
    </i>
    <i>
      <x v="5"/>
      <x v="85"/>
      <x v="1"/>
    </i>
    <i r="1">
      <x v="87"/>
      <x v="1"/>
    </i>
    <i r="1">
      <x v="98"/>
      <x v="1"/>
    </i>
    <i>
      <x v="6"/>
      <x v="46"/>
      <x v="1"/>
    </i>
    <i>
      <x v="7"/>
      <x/>
      <x v="1"/>
    </i>
    <i r="1">
      <x v="6"/>
      <x v="1"/>
    </i>
    <i r="1">
      <x v="7"/>
      <x v="1"/>
    </i>
    <i r="1">
      <x v="11"/>
      <x v="1"/>
    </i>
    <i r="1">
      <x v="14"/>
      <x v="1"/>
    </i>
    <i r="1">
      <x v="16"/>
      <x v="1"/>
    </i>
    <i r="1">
      <x v="18"/>
      <x v="1"/>
    </i>
    <i r="1">
      <x v="20"/>
      <x v="1"/>
    </i>
    <i r="1">
      <x v="21"/>
      <x v="1"/>
    </i>
    <i r="1">
      <x v="37"/>
      <x v="1"/>
    </i>
    <i r="1">
      <x v="41"/>
      <x v="5"/>
    </i>
    <i r="1">
      <x v="53"/>
      <x v="1"/>
    </i>
    <i r="1">
      <x v="57"/>
      <x v="1"/>
    </i>
    <i r="1">
      <x v="58"/>
      <x v="1"/>
    </i>
    <i r="1">
      <x v="59"/>
      <x v="1"/>
    </i>
    <i r="1">
      <x v="74"/>
      <x v="1"/>
    </i>
    <i r="1">
      <x v="78"/>
      <x v="1"/>
    </i>
    <i r="1">
      <x v="79"/>
      <x v="1"/>
    </i>
    <i r="1">
      <x v="80"/>
      <x v="1"/>
    </i>
    <i r="1">
      <x v="81"/>
      <x v="1"/>
    </i>
    <i r="1">
      <x v="82"/>
      <x v="1"/>
    </i>
    <i r="1">
      <x v="90"/>
      <x v="1"/>
    </i>
    <i r="1">
      <x v="132"/>
      <x v="1"/>
    </i>
    <i r="1">
      <x v="145"/>
      <x v="1"/>
    </i>
    <i r="1">
      <x v="146"/>
      <x v="1"/>
    </i>
    <i r="1">
      <x v="157"/>
      <x v="1"/>
    </i>
    <i r="1">
      <x v="179"/>
      <x v="1"/>
    </i>
    <i>
      <x v="8"/>
      <x v="3"/>
      <x v="1"/>
    </i>
    <i r="1">
      <x v="189"/>
      <x v="1"/>
    </i>
    <i>
      <x v="9"/>
      <x v="89"/>
      <x v="1"/>
    </i>
    <i>
      <x v="12"/>
      <x v="9"/>
      <x v="6"/>
    </i>
    <i r="1">
      <x v="111"/>
      <x v="7"/>
    </i>
    <i r="1">
      <x v="113"/>
      <x v="7"/>
    </i>
    <i r="1">
      <x v="114"/>
      <x v="1"/>
    </i>
    <i r="1">
      <x v="115"/>
      <x v="7"/>
    </i>
    <i r="1">
      <x v="133"/>
      <x v="1"/>
    </i>
    <i>
      <x v="13"/>
      <x v="71"/>
      <x v="1"/>
    </i>
    <i r="1">
      <x v="116"/>
      <x v="3"/>
    </i>
    <i>
      <x v="14"/>
      <x v="12"/>
      <x v="1"/>
    </i>
    <i r="1">
      <x v="28"/>
      <x v="1"/>
    </i>
    <i r="1">
      <x v="127"/>
      <x v="1"/>
    </i>
    <i r="1">
      <x v="129"/>
      <x v="1"/>
    </i>
    <i>
      <x v="15"/>
      <x v="94"/>
      <x v="1"/>
    </i>
    <i>
      <x v="16"/>
      <x v="36"/>
      <x v="1"/>
    </i>
    <i r="1">
      <x v="48"/>
      <x v="1"/>
    </i>
    <i r="1">
      <x v="51"/>
      <x v="1"/>
    </i>
    <i r="1">
      <x v="139"/>
      <x v="1"/>
    </i>
    <i r="1">
      <x v="148"/>
      <x v="1"/>
    </i>
    <i r="1">
      <x v="149"/>
      <x v="1"/>
    </i>
    <i r="1">
      <x v="152"/>
      <x v="1"/>
    </i>
    <i r="1">
      <x v="154"/>
      <x v="1"/>
    </i>
    <i r="1">
      <x v="155"/>
      <x v="1"/>
    </i>
    <i r="1">
      <x v="159"/>
      <x v="1"/>
    </i>
    <i>
      <x v="18"/>
      <x v="26"/>
      <x v="1"/>
    </i>
    <i r="1">
      <x v="31"/>
      <x v="1"/>
    </i>
    <i r="1">
      <x v="49"/>
      <x v="1"/>
    </i>
    <i r="1">
      <x v="77"/>
      <x v="1"/>
    </i>
    <i r="1">
      <x v="105"/>
      <x v="1"/>
    </i>
    <i r="1">
      <x v="106"/>
      <x v="1"/>
    </i>
    <i r="1">
      <x v="131"/>
      <x v="1"/>
    </i>
    <i r="1">
      <x v="134"/>
      <x v="8"/>
    </i>
    <i r="1">
      <x v="140"/>
      <x v="1"/>
    </i>
    <i r="1">
      <x v="141"/>
      <x v="1"/>
    </i>
    <i r="1">
      <x v="151"/>
      <x v="1"/>
    </i>
    <i r="1">
      <x v="180"/>
      <x v="1"/>
    </i>
    <i r="1">
      <x v="181"/>
      <x v="1"/>
    </i>
    <i r="1">
      <x v="185"/>
      <x v="1"/>
    </i>
    <i>
      <x v="19"/>
      <x v="63"/>
      <x v="1"/>
    </i>
    <i r="1">
      <x v="107"/>
      <x v="1"/>
    </i>
    <i r="1">
      <x v="108"/>
      <x v="1"/>
    </i>
    <i>
      <x v="20"/>
      <x v="4"/>
      <x v="1"/>
    </i>
    <i r="1">
      <x v="8"/>
      <x v="1"/>
    </i>
    <i r="1">
      <x v="22"/>
      <x v="1"/>
    </i>
    <i r="1">
      <x v="23"/>
      <x v="1"/>
    </i>
    <i r="1">
      <x v="42"/>
      <x v="1"/>
    </i>
    <i r="1">
      <x v="67"/>
      <x v="8"/>
    </i>
    <i r="1">
      <x v="68"/>
      <x v="1"/>
    </i>
    <i r="1">
      <x v="69"/>
      <x v="1"/>
    </i>
    <i r="1">
      <x v="86"/>
      <x v="1"/>
    </i>
    <i r="1">
      <x v="93"/>
      <x v="8"/>
    </i>
    <i r="1">
      <x v="124"/>
      <x v="1"/>
    </i>
    <i r="1">
      <x v="158"/>
      <x v="8"/>
    </i>
    <i r="1">
      <x v="176"/>
      <x v="8"/>
    </i>
    <i r="1">
      <x v="177"/>
      <x v="8"/>
    </i>
    <i>
      <x v="21"/>
      <x v="161"/>
      <x v="1"/>
    </i>
    <i r="1">
      <x v="168"/>
      <x v="1"/>
    </i>
    <i r="1">
      <x v="170"/>
      <x v="1"/>
    </i>
    <i>
      <x v="22"/>
      <x v="190"/>
      <x/>
    </i>
    <i r="2">
      <x v="2"/>
    </i>
  </rowItems>
  <colItems count="1">
    <i/>
  </colItems>
  <dataFields count="1">
    <dataField name="Suma de Cantidad" fld="3" baseField="0" baseItem="0"/>
  </dataFields>
  <formats count="146">
    <format dxfId="158">
      <pivotArea dataOnly="0" labelOnly="1" outline="0" fieldPosition="0">
        <references count="1">
          <reference field="1" count="0"/>
        </references>
      </pivotArea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dataOnly="0" labelOnly="1" outline="0" fieldPosition="0">
        <references count="1">
          <reference field="1" count="0"/>
        </references>
      </pivotArea>
    </format>
    <format dxfId="155">
      <pivotArea dataOnly="0" labelOnly="1" outline="0" fieldPosition="0">
        <references count="1">
          <reference field="2" count="0"/>
        </references>
      </pivotArea>
    </format>
    <format dxfId="154">
      <pivotArea dataOnly="0" grandCol="1" outline="0" axis="axisCol" fieldPosition="0"/>
    </format>
    <format dxfId="153">
      <pivotArea dataOnly="0" labelOnly="1" outline="0" fieldPosition="0">
        <references count="1">
          <reference field="2" count="0"/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type="topRight" dataOnly="0" labelOnly="1" outline="0" fieldPosition="0"/>
    </format>
    <format dxfId="150">
      <pivotArea dataOnly="0" grandCol="1" outline="0" axis="axisCol" fieldPosition="0"/>
    </format>
    <format dxfId="149">
      <pivotArea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148">
      <pivotArea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47">
      <pivotArea outline="0" fieldPosition="0">
        <references count="3">
          <reference field="0" count="1" selected="0">
            <x v="7"/>
          </reference>
          <reference field="1" count="3" selected="0">
            <x v="16"/>
            <x v="18"/>
            <x v="20"/>
          </reference>
          <reference field="2" count="1" selected="0">
            <x v="1"/>
          </reference>
        </references>
      </pivotArea>
    </format>
    <format dxfId="146">
      <pivotArea outline="0" fieldPosition="0">
        <references count="3">
          <reference field="0" count="1" selected="0">
            <x v="7"/>
          </reference>
          <reference field="1" count="2" selected="0">
            <x v="37"/>
            <x v="41"/>
          </reference>
          <reference field="2" count="2" selected="0">
            <x v="1"/>
            <x v="5"/>
          </reference>
        </references>
      </pivotArea>
    </format>
    <format dxfId="145">
      <pivotArea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 selected="0">
            <x v="1"/>
          </reference>
        </references>
      </pivotArea>
    </format>
    <format dxfId="144">
      <pivotArea outline="0" fieldPosition="0">
        <references count="3">
          <reference field="0" count="1" selected="0">
            <x v="16"/>
          </reference>
          <reference field="1" count="2" selected="0">
            <x v="36"/>
            <x v="48"/>
          </reference>
          <reference field="2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6"/>
          </reference>
          <reference field="1" count="2">
            <x v="36"/>
            <x v="48"/>
          </reference>
        </references>
      </pivotArea>
    </format>
    <format dxfId="142">
      <pivotArea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6"/>
          </reference>
          <reference field="1" count="1">
            <x v="5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8"/>
          </reference>
          <reference field="1" count="1">
            <x v="27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7"/>
          </reference>
          <reference field="2" count="1">
            <x v="1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3">
      <pivotArea outline="0" fieldPosition="0">
        <references count="1">
          <reference field="0" count="16" selected="0">
            <x v="3"/>
            <x v="5"/>
            <x v="6"/>
            <x v="7"/>
            <x v="8"/>
            <x v="9"/>
            <x v="12"/>
            <x v="13"/>
            <x v="14"/>
            <x v="15"/>
            <x v="16"/>
            <x v="18"/>
            <x v="19"/>
            <x v="20"/>
            <x v="21"/>
            <x v="22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3"/>
          </reference>
          <reference field="1" count="14">
            <x v="2"/>
            <x v="38"/>
            <x v="50"/>
            <x v="52"/>
            <x v="62"/>
            <x v="83"/>
            <x v="91"/>
            <x v="101"/>
            <x v="121"/>
            <x v="130"/>
            <x v="147"/>
            <x v="150"/>
            <x v="182"/>
            <x v="188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5"/>
          </reference>
          <reference field="1" count="3">
            <x v="85"/>
            <x v="87"/>
            <x v="98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6"/>
          </reference>
          <reference field="1" count="1">
            <x v="46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7"/>
          </reference>
          <reference field="1" count="25">
            <x v="0"/>
            <x v="6"/>
            <x v="7"/>
            <x v="11"/>
            <x v="16"/>
            <x v="18"/>
            <x v="20"/>
            <x v="21"/>
            <x v="37"/>
            <x v="41"/>
            <x v="53"/>
            <x v="57"/>
            <x v="58"/>
            <x v="59"/>
            <x v="74"/>
            <x v="78"/>
            <x v="79"/>
            <x v="80"/>
            <x v="81"/>
            <x v="90"/>
            <x v="132"/>
            <x v="145"/>
            <x v="146"/>
            <x v="157"/>
            <x v="179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8"/>
          </reference>
          <reference field="1" count="2">
            <x v="3"/>
            <x v="18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9"/>
          </reference>
          <reference field="1" count="1">
            <x v="89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2"/>
          </reference>
          <reference field="1" count="6">
            <x v="9"/>
            <x v="111"/>
            <x v="113"/>
            <x v="114"/>
            <x v="115"/>
            <x v="13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3"/>
          </reference>
          <reference field="1" count="2">
            <x v="71"/>
            <x v="11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"/>
          </reference>
          <reference field="1" count="4">
            <x v="12"/>
            <x v="28"/>
            <x v="127"/>
            <x v="129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5"/>
          </reference>
          <reference field="1" count="1">
            <x v="9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" count="10">
            <x v="36"/>
            <x v="48"/>
            <x v="51"/>
            <x v="139"/>
            <x v="148"/>
            <x v="149"/>
            <x v="152"/>
            <x v="154"/>
            <x v="155"/>
            <x v="15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8"/>
          </reference>
          <reference field="1" count="14">
            <x v="26"/>
            <x v="31"/>
            <x v="49"/>
            <x v="77"/>
            <x v="105"/>
            <x v="106"/>
            <x v="131"/>
            <x v="134"/>
            <x v="140"/>
            <x v="141"/>
            <x v="151"/>
            <x v="180"/>
            <x v="181"/>
            <x v="185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9"/>
          </reference>
          <reference field="1" count="3">
            <x v="63"/>
            <x v="107"/>
            <x v="108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0"/>
          </reference>
          <reference field="1" count="14">
            <x v="4"/>
            <x v="8"/>
            <x v="22"/>
            <x v="23"/>
            <x v="42"/>
            <x v="67"/>
            <x v="68"/>
            <x v="69"/>
            <x v="86"/>
            <x v="93"/>
            <x v="124"/>
            <x v="158"/>
            <x v="176"/>
            <x v="177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1"/>
          </reference>
          <reference field="1" count="3">
            <x v="161"/>
            <x v="168"/>
            <x v="170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2"/>
          </reference>
          <reference field="1" count="1">
            <x v="190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2" count="1">
            <x v="1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"/>
          </reference>
          <reference field="2" count="1">
            <x v="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"/>
          </reference>
          <reference field="2" count="1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2"/>
          </reference>
          <reference field="2" count="1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3"/>
          </reference>
          <reference field="2" count="1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"/>
          </reference>
          <reference field="2" count="1">
            <x v="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1"/>
          </reference>
          <reference field="2" count="1">
            <x v="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0"/>
          </reference>
          <reference field="2" count="1">
            <x v="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7"/>
          </reference>
          <reference field="2" count="1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0"/>
          </reference>
          <reference field="2" count="1">
            <x v="1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2"/>
          </reference>
          <reference field="2" count="1">
            <x v="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8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5"/>
          </reference>
          <reference field="2" count="1">
            <x v="1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7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98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6"/>
          </reference>
          <reference field="2" count="1">
            <x v="1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0"/>
          </reference>
          <reference field="2" count="1">
            <x v="1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1"/>
          </reference>
          <reference field="2" count="1">
            <x v="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7"/>
          </reference>
          <reference field="2" count="1">
            <x v="1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1"/>
          </reference>
          <reference field="2" count="1">
            <x v="5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3"/>
          </reference>
          <reference field="2" count="1">
            <x v="1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7"/>
          </reference>
          <reference field="2" count="1">
            <x v="1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1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9"/>
          </reference>
          <reference field="2" count="1">
            <x v="1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4"/>
          </reference>
          <reference field="2" count="1">
            <x v="1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8"/>
          </reference>
          <reference field="2" count="1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9"/>
          </reference>
          <reference field="2" count="1">
            <x v="1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0"/>
          </reference>
          <reference field="2" count="1">
            <x v="1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1"/>
          </reference>
          <reference field="2" count="1">
            <x v="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90"/>
          </reference>
          <reference field="2" count="1">
            <x v="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2"/>
          </reference>
          <reference field="2" count="1">
            <x v="1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5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6"/>
          </reference>
          <reference field="2" count="1">
            <x v="1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57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89"/>
          </reference>
          <reference field="2" count="1">
            <x v="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89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6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1"/>
          </reference>
          <reference field="2" count="1">
            <x v="7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3"/>
          </reference>
          <reference field="2" count="1">
            <x v="7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4"/>
          </reference>
          <reference field="2" count="1">
            <x v="1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5"/>
          </reference>
          <reference field="2" count="1">
            <x v="7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33"/>
          </reference>
          <reference field="2" count="1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>
            <x v="1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16"/>
          </reference>
          <reference field="2" count="1">
            <x v="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"/>
          </reference>
          <reference field="2" count="1">
            <x v="1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8"/>
          </reference>
          <reference field="2" count="1">
            <x v="1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7"/>
          </reference>
          <reference field="2" count="1">
            <x v="1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9"/>
          </reference>
          <reference field="2" count="1">
            <x v="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94"/>
          </reference>
          <reference field="2" count="1">
            <x v="1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36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48"/>
          </reference>
          <reference field="2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39"/>
          </reference>
          <reference field="2" count="1">
            <x v="1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8"/>
          </reference>
          <reference field="2" count="1">
            <x v="1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9"/>
          </reference>
          <reference field="2" count="1">
            <x v="1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2"/>
          </reference>
          <reference field="2" count="1">
            <x v="1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4"/>
          </reference>
          <reference field="2" count="1">
            <x v="1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5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9"/>
          </reference>
          <reference field="2" count="1">
            <x v="1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6"/>
          </reference>
          <reference field="2" count="1">
            <x v="1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2" count="1">
            <x v="1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9"/>
          </reference>
          <reference field="2" count="1">
            <x v="1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7"/>
          </reference>
          <reference field="2" count="1">
            <x v="1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5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6"/>
          </reference>
          <reference field="2" count="1">
            <x v="1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1"/>
          </reference>
          <reference field="2" count="1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4"/>
          </reference>
          <reference field="2" count="1">
            <x v="8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0"/>
          </reference>
          <reference field="2" count="1">
            <x v="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51"/>
          </reference>
          <reference field="2" count="1">
            <x v="1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0"/>
          </reference>
          <reference field="2" count="1">
            <x v="1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1"/>
          </reference>
          <reference field="2" count="1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5"/>
          </reference>
          <reference field="2" count="1">
            <x v="1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63"/>
          </reference>
          <reference field="2" count="1">
            <x v="1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7"/>
          </reference>
          <reference field="2" count="1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8"/>
          </reference>
          <reference field="2" count="1">
            <x v="1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2" count="1">
            <x v="1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3"/>
          </reference>
          <reference field="2" count="1">
            <x v="1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2"/>
          </reference>
          <reference field="2" count="1">
            <x v="1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7"/>
          </reference>
          <reference field="2" count="1">
            <x v="8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8"/>
          </reference>
          <reference field="2" count="1">
            <x v="1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9"/>
          </reference>
          <reference field="2" count="1">
            <x v="1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6"/>
          </reference>
          <reference field="2" count="1">
            <x v="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93"/>
          </reference>
          <reference field="2" count="1">
            <x v="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24"/>
          </reference>
          <reference field="2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58"/>
          </reference>
          <reference field="2" count="1">
            <x v="8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6"/>
          </reference>
          <reference field="2" count="1">
            <x v="8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7"/>
          </reference>
          <reference field="2" count="1">
            <x v="8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1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8"/>
          </reference>
          <reference field="2" count="1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70"/>
          </reference>
          <reference field="2" count="1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90"/>
          </reference>
          <reference field="2" count="2">
            <x v="0"/>
            <x v="2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8A89D-09B3-4BD3-A327-8EAD9CFC2C67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gridDropZones="1" multipleFieldFilters="0">
  <location ref="A10:L112" firstHeaderRow="2" firstDataRow="2" firstDataCol="6"/>
  <pivotFields count="8">
    <pivotField axis="axisRow" compact="0" outline="0" showAll="0" defaultSubtotal="0">
      <items count="21">
        <item x="1"/>
        <item x="14"/>
        <item m="1" x="20"/>
        <item x="3"/>
        <item m="1" x="17"/>
        <item x="0"/>
        <item x="2"/>
        <item x="4"/>
        <item m="1" x="16"/>
        <item x="6"/>
        <item x="8"/>
        <item x="9"/>
        <item x="10"/>
        <item x="11"/>
        <item x="12"/>
        <item x="13"/>
        <item m="1" x="15"/>
        <item m="1" x="18"/>
        <item m="1" x="19"/>
        <item x="5"/>
        <item x="7"/>
      </items>
    </pivotField>
    <pivotField axis="axisRow" compact="0" outline="0" showAll="0" defaultSubtotal="0">
      <items count="147">
        <item m="1" x="145"/>
        <item m="1" x="113"/>
        <item x="32"/>
        <item m="1" x="146"/>
        <item m="1" x="118"/>
        <item x="44"/>
        <item m="1" x="112"/>
        <item x="3"/>
        <item m="1" x="114"/>
        <item x="8"/>
        <item m="1" x="115"/>
        <item m="1" x="116"/>
        <item x="65"/>
        <item x="66"/>
        <item x="12"/>
        <item x="13"/>
        <item m="1" x="117"/>
        <item x="16"/>
        <item m="1" x="119"/>
        <item x="17"/>
        <item m="1" x="120"/>
        <item m="1" x="1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46"/>
        <item x="39"/>
        <item x="40"/>
        <item x="41"/>
        <item x="42"/>
        <item m="1" x="122"/>
        <item m="1" x="123"/>
        <item x="43"/>
        <item x="45"/>
        <item x="47"/>
        <item x="48"/>
        <item m="1" x="124"/>
        <item x="50"/>
        <item x="51"/>
        <item x="52"/>
        <item x="53"/>
        <item x="55"/>
        <item x="56"/>
        <item x="57"/>
        <item x="54"/>
        <item x="58"/>
        <item x="59"/>
        <item x="60"/>
        <item x="62"/>
        <item x="63"/>
        <item x="68"/>
        <item x="69"/>
        <item m="1" x="125"/>
        <item x="72"/>
        <item x="73"/>
        <item x="74"/>
        <item x="75"/>
        <item x="76"/>
        <item x="78"/>
        <item x="79"/>
        <item m="1" x="126"/>
        <item x="80"/>
        <item x="81"/>
        <item x="83"/>
        <item m="1" x="127"/>
        <item x="84"/>
        <item x="86"/>
        <item x="87"/>
        <item m="1" x="128"/>
        <item m="1" x="129"/>
        <item m="1" x="130"/>
        <item x="89"/>
        <item x="91"/>
        <item m="1" x="131"/>
        <item x="97"/>
        <item m="1" x="102"/>
        <item m="1" x="132"/>
        <item m="1" x="133"/>
        <item m="1" x="134"/>
        <item m="1" x="107"/>
        <item m="1" x="11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x="98"/>
        <item m="1" x="109"/>
        <item m="1" x="110"/>
        <item x="1"/>
        <item x="4"/>
        <item x="5"/>
        <item x="7"/>
        <item x="10"/>
        <item x="6"/>
        <item x="9"/>
        <item x="11"/>
        <item x="64"/>
        <item x="67"/>
        <item m="1" x="100"/>
        <item x="2"/>
        <item x="14"/>
        <item x="18"/>
        <item x="19"/>
        <item x="20"/>
        <item x="21"/>
        <item x="24"/>
        <item x="49"/>
        <item x="70"/>
        <item x="71"/>
        <item x="77"/>
        <item x="82"/>
        <item x="85"/>
        <item x="88"/>
        <item x="90"/>
        <item x="92"/>
        <item x="93"/>
        <item m="1" x="101"/>
        <item x="95"/>
        <item x="96"/>
        <item x="99"/>
        <item m="1" x="103"/>
        <item m="1" x="104"/>
        <item m="1" x="105"/>
        <item m="1" x="106"/>
        <item m="1" x="108"/>
        <item x="0"/>
        <item x="15"/>
        <item x="61"/>
        <item x="94"/>
      </items>
    </pivotField>
    <pivotField axis="axisRow" compact="0" outline="0" showAll="0" defaultSubtotal="0">
      <items count="8">
        <item x="4"/>
        <item x="1"/>
        <item x="2"/>
        <item x="3"/>
        <item x="5"/>
        <item x="6"/>
        <item x="7"/>
        <item x="0"/>
      </items>
    </pivotField>
    <pivotField axis="axisRow" compact="0" outline="0" showAll="0" defaultSubtotal="0">
      <items count="32">
        <item x="1"/>
        <item x="10"/>
        <item x="9"/>
        <item x="5"/>
        <item x="18"/>
        <item x="0"/>
        <item m="1" x="21"/>
        <item x="2"/>
        <item x="8"/>
        <item m="1" x="22"/>
        <item m="1" x="23"/>
        <item m="1" x="24"/>
        <item m="1" x="25"/>
        <item m="1" x="26"/>
        <item x="19"/>
        <item m="1" x="27"/>
        <item m="1" x="28"/>
        <item x="3"/>
        <item x="6"/>
        <item x="14"/>
        <item m="1" x="29"/>
        <item m="1" x="30"/>
        <item m="1" x="31"/>
        <item x="12"/>
        <item m="1" x="20"/>
        <item x="4"/>
        <item x="7"/>
        <item x="11"/>
        <item x="13"/>
        <item x="15"/>
        <item x="16"/>
        <item x="17"/>
      </items>
    </pivotField>
    <pivotField axis="axisRow" compact="0" outline="0" showAll="0" defaultSubtotal="0">
      <items count="107">
        <item x="38"/>
        <item x="44"/>
        <item x="30"/>
        <item x="68"/>
        <item m="1" x="86"/>
        <item x="39"/>
        <item x="49"/>
        <item x="3"/>
        <item m="1" x="80"/>
        <item m="1" x="81"/>
        <item m="1" x="82"/>
        <item m="1" x="83"/>
        <item x="50"/>
        <item m="1" x="84"/>
        <item x="13"/>
        <item m="1" x="85"/>
        <item x="16"/>
        <item x="33"/>
        <item x="17"/>
        <item x="21"/>
        <item x="22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m="1" x="87"/>
        <item m="1" x="88"/>
        <item x="40"/>
        <item x="41"/>
        <item m="1" x="89"/>
        <item x="43"/>
        <item x="4"/>
        <item x="45"/>
        <item x="46"/>
        <item x="47"/>
        <item x="48"/>
        <item x="52"/>
        <item m="1" x="90"/>
        <item x="54"/>
        <item x="55"/>
        <item x="56"/>
        <item x="57"/>
        <item x="59"/>
        <item m="1" x="91"/>
        <item x="60"/>
        <item m="1" x="92"/>
        <item x="62"/>
        <item x="63"/>
        <item x="64"/>
        <item x="23"/>
        <item x="66"/>
        <item x="67"/>
        <item m="1" x="93"/>
        <item x="71"/>
        <item m="1" x="94"/>
        <item m="1" x="95"/>
        <item m="1" x="96"/>
        <item m="1" x="97"/>
        <item m="1" x="75"/>
        <item m="1" x="79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7"/>
        <item m="1" x="78"/>
        <item x="1"/>
        <item x="5"/>
        <item x="7"/>
        <item x="8"/>
        <item x="10"/>
        <item x="12"/>
        <item x="6"/>
        <item x="9"/>
        <item x="11"/>
        <item x="51"/>
        <item x="0"/>
        <item x="2"/>
        <item x="14"/>
        <item x="18"/>
        <item x="19"/>
        <item x="20"/>
        <item x="42"/>
        <item x="53"/>
        <item x="58"/>
        <item x="61"/>
        <item x="65"/>
        <item x="69"/>
        <item x="70"/>
        <item m="1" x="72"/>
        <item m="1" x="73"/>
        <item m="1" x="74"/>
        <item m="1" x="76"/>
        <item x="15"/>
      </items>
    </pivotField>
    <pivotField axis="axisRow" compact="0" outline="0" showAll="0">
      <items count="157">
        <item m="1" x="151"/>
        <item m="1" x="150"/>
        <item x="31"/>
        <item m="1" x="154"/>
        <item m="1" x="155"/>
        <item m="1" x="98"/>
        <item m="1" x="152"/>
        <item m="1" x="153"/>
        <item x="2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17"/>
        <item m="1" x="99"/>
        <item m="1" x="100"/>
        <item x="46"/>
        <item m="1" x="101"/>
        <item x="26"/>
        <item m="1" x="102"/>
        <item x="12"/>
        <item m="1" x="103"/>
        <item x="35"/>
        <item m="1" x="104"/>
        <item m="1" x="105"/>
        <item x="33"/>
        <item x="34"/>
        <item x="36"/>
        <item m="1" x="106"/>
        <item x="37"/>
        <item x="38"/>
        <item m="1" x="107"/>
        <item m="1" x="108"/>
        <item m="1" x="109"/>
        <item m="1" x="110"/>
        <item m="1" x="111"/>
        <item x="4"/>
        <item m="1" x="112"/>
        <item m="1" x="113"/>
        <item m="1" x="114"/>
        <item m="1" x="115"/>
        <item x="72"/>
        <item m="1" x="116"/>
        <item m="1" x="117"/>
        <item m="1" x="118"/>
        <item m="1" x="119"/>
        <item m="1" x="120"/>
        <item m="1" x="121"/>
        <item m="1" x="122"/>
        <item x="49"/>
        <item m="1" x="123"/>
        <item x="39"/>
        <item x="55"/>
        <item m="1" x="124"/>
        <item m="1" x="125"/>
        <item m="1" x="126"/>
        <item m="1" x="127"/>
        <item m="1" x="128"/>
        <item m="1" x="129"/>
        <item x="63"/>
        <item x="32"/>
        <item m="1" x="130"/>
        <item m="1" x="131"/>
        <item m="1" x="132"/>
        <item m="1" x="133"/>
        <item m="1" x="134"/>
        <item m="1" x="135"/>
        <item m="1" x="136"/>
        <item x="41"/>
        <item m="1" x="137"/>
        <item m="1" x="138"/>
        <item x="76"/>
        <item m="1" x="139"/>
        <item m="1" x="140"/>
        <item m="1" x="141"/>
        <item m="1" x="142"/>
        <item m="1" x="143"/>
        <item m="1" x="144"/>
        <item m="1" x="145"/>
        <item m="1" x="146"/>
        <item x="73"/>
        <item m="1" x="147"/>
        <item m="1" x="148"/>
        <item m="1" x="149"/>
        <item m="1" x="82"/>
        <item m="1" x="83"/>
        <item m="1" x="84"/>
        <item x="1"/>
        <item x="3"/>
        <item x="5"/>
        <item x="7"/>
        <item x="8"/>
        <item x="10"/>
        <item x="6"/>
        <item x="9"/>
        <item x="11"/>
        <item x="52"/>
        <item x="53"/>
        <item x="54"/>
        <item x="0"/>
        <item x="2"/>
        <item x="14"/>
        <item x="16"/>
        <item x="18"/>
        <item x="19"/>
        <item x="20"/>
        <item x="21"/>
        <item x="22"/>
        <item x="23"/>
        <item x="24"/>
        <item x="25"/>
        <item x="27"/>
        <item x="29"/>
        <item x="30"/>
        <item x="40"/>
        <item x="42"/>
        <item x="43"/>
        <item x="44"/>
        <item x="45"/>
        <item x="47"/>
        <item x="48"/>
        <item x="50"/>
        <item x="51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4"/>
        <item x="75"/>
        <item m="1" x="77"/>
        <item m="1" x="78"/>
        <item m="1" x="79"/>
        <item m="1" x="80"/>
        <item m="1" x="81"/>
        <item x="13"/>
        <item x="1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6">
    <field x="0"/>
    <field x="1"/>
    <field x="2"/>
    <field x="3"/>
    <field x="4"/>
    <field x="5"/>
  </rowFields>
  <rowItems count="101">
    <i>
      <x/>
      <x v="7"/>
      <x v="1"/>
      <x v="5"/>
      <x v="7"/>
      <x v="97"/>
    </i>
    <i r="1">
      <x v="9"/>
      <x v="1"/>
      <x v="5"/>
      <x v="82"/>
      <x v="100"/>
    </i>
    <i r="1">
      <x v="14"/>
      <x v="1"/>
      <x v="5"/>
      <x v="84"/>
      <x v="29"/>
    </i>
    <i r="1">
      <x v="106"/>
      <x v="1"/>
      <x/>
      <x v="79"/>
      <x v="96"/>
    </i>
    <i r="1">
      <x v="107"/>
      <x v="1"/>
      <x v="5"/>
      <x v="39"/>
      <x v="45"/>
    </i>
    <i r="1">
      <x v="108"/>
      <x v="1"/>
      <x v="5"/>
      <x v="80"/>
      <x v="98"/>
    </i>
    <i r="1">
      <x v="109"/>
      <x v="1"/>
      <x v="5"/>
      <x v="81"/>
      <x v="99"/>
    </i>
    <i r="1">
      <x v="110"/>
      <x v="1"/>
      <x v="5"/>
      <x v="83"/>
      <x v="101"/>
    </i>
    <i r="1">
      <x v="111"/>
      <x v="1"/>
      <x v="7"/>
      <x v="85"/>
      <x v="102"/>
    </i>
    <i r="1">
      <x v="112"/>
      <x v="2"/>
      <x v="17"/>
      <x v="86"/>
      <x v="103"/>
    </i>
    <i r="1">
      <x v="113"/>
      <x v="1"/>
      <x v="5"/>
      <x v="87"/>
      <x v="104"/>
    </i>
    <i r="1">
      <x v="117"/>
      <x v="1"/>
      <x v="5"/>
      <x v="90"/>
      <x v="109"/>
    </i>
    <i>
      <x v="1"/>
      <x v="2"/>
      <x/>
      <x v="2"/>
      <x v="2"/>
      <x v="2"/>
    </i>
    <i>
      <x v="3"/>
      <x v="144"/>
      <x v="1"/>
      <x v="5"/>
      <x v="106"/>
      <x v="155"/>
    </i>
    <i>
      <x v="5"/>
      <x v="143"/>
      <x v="7"/>
      <x v="5"/>
      <x v="89"/>
      <x v="108"/>
    </i>
    <i>
      <x v="6"/>
      <x v="15"/>
      <x v="1"/>
      <x v="5"/>
      <x v="14"/>
      <x v="154"/>
    </i>
    <i r="1">
      <x v="118"/>
      <x v="1"/>
      <x v="5"/>
      <x v="91"/>
      <x v="110"/>
    </i>
    <i>
      <x v="7"/>
      <x v="17"/>
      <x v="1"/>
      <x v="25"/>
      <x v="16"/>
      <x v="111"/>
    </i>
    <i r="1">
      <x v="19"/>
      <x v="1"/>
      <x v="5"/>
      <x v="18"/>
      <x v="22"/>
    </i>
    <i r="1">
      <x v="22"/>
      <x v="1"/>
      <x v="7"/>
      <x v="19"/>
      <x v="116"/>
    </i>
    <i r="1">
      <x v="23"/>
      <x v="1"/>
      <x v="18"/>
      <x v="20"/>
      <x v="117"/>
    </i>
    <i r="1">
      <x v="24"/>
      <x v="1"/>
      <x v="5"/>
      <x v="21"/>
      <x v="119"/>
    </i>
    <i r="1">
      <x v="25"/>
      <x v="3"/>
      <x v="5"/>
      <x v="22"/>
      <x v="27"/>
    </i>
    <i r="1">
      <x v="26"/>
      <x v="3"/>
      <x v="5"/>
      <x v="22"/>
      <x v="27"/>
    </i>
    <i r="1">
      <x v="27"/>
      <x v="3"/>
      <x v="26"/>
      <x v="23"/>
      <x v="120"/>
    </i>
    <i r="1">
      <x v="28"/>
      <x v="1"/>
      <x/>
      <x v="24"/>
      <x v="8"/>
    </i>
    <i r="1">
      <x v="29"/>
      <x v="1"/>
      <x v="7"/>
      <x v="25"/>
      <x v="121"/>
    </i>
    <i r="1">
      <x v="30"/>
      <x v="1"/>
      <x v="8"/>
      <x v="26"/>
      <x v="122"/>
    </i>
    <i r="1">
      <x v="31"/>
      <x v="1"/>
      <x v="5"/>
      <x v="27"/>
      <x v="69"/>
    </i>
    <i r="1">
      <x v="32"/>
      <x v="3"/>
      <x v="5"/>
      <x v="28"/>
      <x v="34"/>
    </i>
    <i r="1">
      <x v="33"/>
      <x v="3"/>
      <x v="5"/>
      <x v="28"/>
      <x v="34"/>
    </i>
    <i r="1">
      <x v="34"/>
      <x v="1"/>
      <x v="5"/>
      <x v="17"/>
      <x v="35"/>
    </i>
    <i r="1">
      <x v="35"/>
      <x v="1"/>
      <x v="5"/>
      <x v="29"/>
      <x v="31"/>
    </i>
    <i r="1">
      <x v="36"/>
      <x v="1"/>
      <x v="5"/>
      <x v="24"/>
      <x v="36"/>
    </i>
    <i r="1">
      <x v="38"/>
      <x v="1"/>
      <x v="5"/>
      <x v="30"/>
      <x v="38"/>
    </i>
    <i r="1">
      <x v="39"/>
      <x v="1"/>
      <x v="5"/>
      <x v="31"/>
      <x v="39"/>
    </i>
    <i r="1">
      <x v="40"/>
      <x v="1"/>
      <x v="1"/>
      <x v="24"/>
      <x v="60"/>
    </i>
    <i r="1">
      <x v="41"/>
      <x v="1"/>
      <x v="27"/>
      <x v="32"/>
      <x v="123"/>
    </i>
    <i r="1">
      <x v="119"/>
      <x v="1"/>
      <x v="3"/>
      <x v="18"/>
      <x v="112"/>
    </i>
    <i r="1">
      <x v="120"/>
      <x v="1"/>
      <x v="5"/>
      <x v="92"/>
      <x v="113"/>
    </i>
    <i r="1">
      <x v="121"/>
      <x v="1"/>
      <x v="3"/>
      <x v="93"/>
      <x v="114"/>
    </i>
    <i r="1">
      <x v="122"/>
      <x v="1"/>
      <x v="3"/>
      <x v="94"/>
      <x v="115"/>
    </i>
    <i r="1">
      <x v="123"/>
      <x v="1"/>
      <x v="7"/>
      <x v="57"/>
      <x v="118"/>
    </i>
    <i>
      <x v="9"/>
      <x v="44"/>
      <x v="1"/>
      <x v="5"/>
      <x/>
      <x v="77"/>
    </i>
    <i>
      <x v="10"/>
      <x v="46"/>
      <x v="4"/>
      <x v="5"/>
      <x v="35"/>
      <x v="126"/>
    </i>
    <i r="1">
      <x v="47"/>
      <x v="5"/>
      <x v="5"/>
      <x v="36"/>
      <x v="127"/>
    </i>
    <i r="1">
      <x v="49"/>
      <x v="5"/>
      <x v="5"/>
      <x v="38"/>
      <x v="128"/>
    </i>
    <i r="1">
      <x v="50"/>
      <x v="5"/>
      <x v="5"/>
      <x v="1"/>
      <x v="125"/>
    </i>
    <i r="1">
      <x v="51"/>
      <x v="1"/>
      <x v="5"/>
      <x v="39"/>
      <x v="45"/>
    </i>
    <i r="1">
      <x v="124"/>
      <x v="5"/>
      <x v="5"/>
      <x v="95"/>
      <x v="25"/>
    </i>
    <i>
      <x v="11"/>
      <x v="52"/>
      <x v="2"/>
      <x v="19"/>
      <x v="40"/>
      <x v="129"/>
    </i>
    <i>
      <x v="12"/>
      <x v="53"/>
      <x v="1"/>
      <x v="7"/>
      <x v="17"/>
      <x v="60"/>
    </i>
    <i r="1">
      <x v="54"/>
      <x v="1"/>
      <x v="7"/>
      <x v="27"/>
      <x v="130"/>
    </i>
    <i r="1">
      <x v="55"/>
      <x v="1"/>
      <x v="7"/>
      <x v="41"/>
      <x v="131"/>
    </i>
    <i r="1">
      <x v="56"/>
      <x v="1"/>
      <x v="7"/>
      <x v="18"/>
      <x v="58"/>
    </i>
    <i>
      <x v="13"/>
      <x v="12"/>
      <x v="1"/>
      <x v="7"/>
      <x v="12"/>
      <x v="106"/>
    </i>
    <i r="1">
      <x v="13"/>
      <x v="1"/>
      <x v="7"/>
      <x v="12"/>
      <x v="106"/>
    </i>
    <i r="1">
      <x v="57"/>
      <x v="1"/>
      <x v="7"/>
      <x v="42"/>
      <x v="36"/>
    </i>
    <i r="1">
      <x v="58"/>
      <x v="1"/>
      <x v="7"/>
      <x v="43"/>
      <x v="105"/>
    </i>
    <i r="1">
      <x v="59"/>
      <x v="1"/>
      <x v="5"/>
      <x v="17"/>
      <x v="35"/>
    </i>
    <i r="1">
      <x v="60"/>
      <x v="1"/>
      <x v="5"/>
      <x v="18"/>
      <x v="22"/>
    </i>
    <i r="1">
      <x v="61"/>
      <x v="1"/>
      <x v="5"/>
      <x v="30"/>
      <x v="38"/>
    </i>
    <i r="1">
      <x v="62"/>
      <x v="1"/>
      <x v="5"/>
      <x v="17"/>
      <x v="35"/>
    </i>
    <i r="1">
      <x v="63"/>
      <x v="1"/>
      <x v="5"/>
      <x v="44"/>
      <x v="61"/>
    </i>
    <i r="1">
      <x v="114"/>
      <x v="1"/>
      <x v="5"/>
      <x v="6"/>
      <x v="8"/>
    </i>
    <i r="1">
      <x v="115"/>
      <x v="1"/>
      <x/>
      <x v="88"/>
      <x v="107"/>
    </i>
    <i r="1">
      <x v="145"/>
      <x v="1"/>
      <x v="5"/>
      <x v="17"/>
      <x v="35"/>
    </i>
    <i>
      <x v="14"/>
      <x v="65"/>
      <x v="1"/>
      <x v="5"/>
      <x v="46"/>
      <x v="133"/>
    </i>
    <i r="1">
      <x v="66"/>
      <x v="1"/>
      <x v="30"/>
      <x v="21"/>
      <x v="134"/>
    </i>
    <i r="1">
      <x v="67"/>
      <x v="1"/>
      <x v="5"/>
      <x v="47"/>
      <x v="135"/>
    </i>
    <i r="1">
      <x v="68"/>
      <x v="1"/>
      <x v="30"/>
      <x v="48"/>
      <x v="136"/>
    </i>
    <i r="1">
      <x v="69"/>
      <x v="1"/>
      <x v="5"/>
      <x v="49"/>
      <x v="137"/>
    </i>
    <i r="1">
      <x v="70"/>
      <x v="5"/>
      <x v="5"/>
      <x v="50"/>
      <x v="68"/>
    </i>
    <i r="1">
      <x v="71"/>
      <x v="1"/>
      <x v="28"/>
      <x v="27"/>
      <x v="139"/>
    </i>
    <i r="1">
      <x v="73"/>
      <x v="6"/>
      <x v="5"/>
      <x v="52"/>
      <x v="112"/>
    </i>
    <i r="1">
      <x v="74"/>
      <x v="1"/>
      <x v="7"/>
      <x v="98"/>
      <x v="140"/>
    </i>
    <i r="1">
      <x v="75"/>
      <x v="1"/>
      <x v="7"/>
      <x v="26"/>
      <x v="31"/>
    </i>
    <i r="1">
      <x v="77"/>
      <x v="1"/>
      <x v="5"/>
      <x v="39"/>
      <x v="45"/>
    </i>
    <i r="1">
      <x v="78"/>
      <x v="1"/>
      <x v="19"/>
      <x v="55"/>
      <x v="143"/>
    </i>
    <i r="1">
      <x v="79"/>
      <x v="1"/>
      <x v="23"/>
      <x v="56"/>
      <x v="144"/>
    </i>
    <i r="1">
      <x v="125"/>
      <x v="1"/>
      <x v="28"/>
      <x v="42"/>
      <x v="8"/>
    </i>
    <i r="1">
      <x v="126"/>
      <x v="1"/>
      <x v="29"/>
      <x v="96"/>
      <x v="132"/>
    </i>
    <i r="1">
      <x v="127"/>
      <x v="1"/>
      <x v="31"/>
      <x v="97"/>
      <x v="138"/>
    </i>
    <i r="1">
      <x v="128"/>
      <x v="1"/>
      <x v="4"/>
      <x v="54"/>
      <x v="141"/>
    </i>
    <i r="1">
      <x v="129"/>
      <x v="1"/>
      <x v="14"/>
      <x v="55"/>
      <x v="142"/>
    </i>
    <i r="1">
      <x v="130"/>
      <x v="1"/>
      <x v="19"/>
      <x v="99"/>
      <x v="145"/>
    </i>
    <i>
      <x v="15"/>
      <x v="83"/>
      <x v="1"/>
      <x v="5"/>
      <x v="58"/>
      <x v="146"/>
    </i>
    <i r="1">
      <x v="84"/>
      <x v="1"/>
      <x v="5"/>
      <x v="59"/>
      <x v="50"/>
    </i>
    <i r="1">
      <x v="86"/>
      <x v="1"/>
      <x v="5"/>
      <x v="61"/>
      <x v="80"/>
    </i>
    <i r="1">
      <x v="103"/>
      <x v="1"/>
      <x v="7"/>
      <x v="39"/>
      <x v="50"/>
    </i>
    <i r="1">
      <x v="131"/>
      <x v="1"/>
      <x v="5"/>
      <x v="59"/>
      <x v="50"/>
    </i>
    <i r="1">
      <x v="132"/>
      <x v="1"/>
      <x v="5"/>
      <x v="59"/>
      <x v="50"/>
    </i>
    <i r="1">
      <x v="133"/>
      <x v="1"/>
      <x v="5"/>
      <x v="84"/>
      <x v="29"/>
    </i>
    <i r="1">
      <x v="135"/>
      <x v="6"/>
      <x v="5"/>
      <x v="100"/>
      <x v="147"/>
    </i>
    <i r="1">
      <x v="136"/>
      <x v="1"/>
      <x v="5"/>
      <x v="101"/>
      <x v="148"/>
    </i>
    <i r="1">
      <x v="137"/>
      <x v="1"/>
      <x v="5"/>
      <x v="35"/>
      <x v="126"/>
    </i>
    <i r="1">
      <x v="146"/>
      <x v="1"/>
      <x v="5"/>
      <x v="3"/>
      <x v="89"/>
    </i>
    <i>
      <x v="19"/>
      <x v="2"/>
      <x/>
      <x v="2"/>
      <x v="2"/>
      <x v="2"/>
    </i>
    <i>
      <x v="20"/>
      <x v="5"/>
      <x v="1"/>
      <x v="23"/>
      <x v="5"/>
      <x v="124"/>
    </i>
    <i r="1">
      <x v="37"/>
      <x v="1"/>
      <x v="5"/>
      <x v="18"/>
      <x v="22"/>
    </i>
    <i r="1">
      <x v="45"/>
      <x v="1"/>
      <x v="28"/>
      <x v="17"/>
      <x v="125"/>
    </i>
  </rowItems>
  <colItems count="1">
    <i/>
  </colItems>
  <formats count="10"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lte." xr10:uid="{2EE02C4D-B4F5-4852-B670-E973EA281354}" sourceName="Hoja Impresión Clte.">
  <pivotTables>
    <pivotTable tabId="18" name="TablaDinámica3"/>
  </pivotTables>
  <data>
    <tabular pivotCacheId="1636274316">
      <items count="4">
        <i x="1" s="1"/>
        <i x="0" s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ompras." xr10:uid="{D0573A0C-7539-4904-A657-9403E57D4CFB}" sourceName="Hoja Impresión Compras.">
  <pivotTables>
    <pivotTable tabId="20" name="TablaDinámica1"/>
  </pivotTables>
  <data>
    <tabular pivotCacheId="1742416052" crossFilter="none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s" xr10:uid="{8BBC7E9D-B444-4EBA-B8AB-CD22FC07AEF8}" sourceName="Modelos">
  <pivotTables>
    <pivotTable tabId="5" name="TablaDinámica3"/>
  </pivotTables>
  <data>
    <tabular pivotCacheId="1110882159">
      <items count="29">
        <i x="0"/>
        <i x="1"/>
        <i x="2"/>
        <i x="24"/>
        <i x="25"/>
        <i x="26"/>
        <i x="27"/>
        <i x="28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 s="1"/>
        <i x="22"/>
        <i x="2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s" xr10:uid="{45ED49A5-2DD5-432F-81A2-E046B41511FC}" cache="SegmentaciónDeDatos_Modelos" caption="Modelos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lte." xr10:uid="{8A9DE82F-5AE3-41FF-ADE1-C97C2BE31BD7}" cache="SegmentaciónDeDatos_Hoja_Impresión_Clte." caption="Hoja Impresión Clte." style="SlicerStyleOther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ompras." xr10:uid="{DD4BDC6F-3149-474C-9725-3F52C4996051}" cache="SegmentaciónDeDatos_Hoja_Impresión_Compras." caption="Hoja Impresión Compras." style="SlicerStyleOther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848E5C-238E-46F4-90C4-617768BDBE4B}" name="Personalizado" displayName="Personalizado" ref="A1:A25" totalsRowShown="0">
  <autoFilter ref="A1:A25" xr:uid="{D2848E5C-238E-46F4-90C4-617768BDBE4B}"/>
  <sortState xmlns:xlrd2="http://schemas.microsoft.com/office/spreadsheetml/2017/richdata2" ref="A2:A25">
    <sortCondition ref="A2:A25"/>
  </sortState>
  <tableColumns count="1">
    <tableColumn id="1" xr3:uid="{55903B95-A8C2-417F-8A20-A6DA58F16EB6}" name="Personaliz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18F60A-0ED8-48B6-90DF-A1E99B3B777F}" name="Adicionales" displayName="Adicionales" ref="B1:B33" totalsRowShown="0">
  <autoFilter ref="B1:B33" xr:uid="{D218F60A-0ED8-48B6-90DF-A1E99B3B777F}"/>
  <sortState xmlns:xlrd2="http://schemas.microsoft.com/office/spreadsheetml/2017/richdata2" ref="B2:B33">
    <sortCondition ref="B2:B33"/>
  </sortState>
  <tableColumns count="1">
    <tableColumn id="1" xr3:uid="{D0B62305-9FDF-4BDB-AFDB-AC831D41A55F}" name="Adicional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34CD34A-FA9E-4D16-920C-B4080B61D9B3}" name="Aislación" displayName="Aislación" ref="C1:C14" totalsRowShown="0">
  <autoFilter ref="C1:C14" xr:uid="{834CD34A-FA9E-4D16-920C-B4080B61D9B3}"/>
  <sortState xmlns:xlrd2="http://schemas.microsoft.com/office/spreadsheetml/2017/richdata2" ref="C2:C14">
    <sortCondition ref="C14"/>
  </sortState>
  <tableColumns count="1">
    <tableColumn id="1" xr3:uid="{DA226B77-543A-44A8-AF5E-3249BC56F213}" name="Aislació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579193-0E7B-4A75-A3C7-7AA3E51C6BC3}" name="Baño" displayName="Baño" ref="D1:D38" totalsRowShown="0">
  <autoFilter ref="D1:D38" xr:uid="{E9579193-0E7B-4A75-A3C7-7AA3E51C6BC3}"/>
  <sortState xmlns:xlrd2="http://schemas.microsoft.com/office/spreadsheetml/2017/richdata2" ref="D2:D38">
    <sortCondition ref="D5:D38"/>
  </sortState>
  <tableColumns count="1">
    <tableColumn id="1" xr3:uid="{EFDAD72B-ACEB-4A91-B0A3-067B484F0E7B}" name="Bañ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D3E968-BF94-413D-9560-1E286DB8C09E}" name="Climatización" displayName="Climatización" ref="E1:E2" totalsRowShown="0">
  <autoFilter ref="E1:E2" xr:uid="{6DD3E968-BF94-413D-9560-1E286DB8C09E}"/>
  <tableColumns count="1">
    <tableColumn id="1" xr3:uid="{AD6E9685-5787-4F6A-8CAD-A8FDB6E1846F}" name="Climatización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D6A6B4-801C-4559-923E-ADDC3E7B0B90}" name="Cocina" displayName="Cocina" ref="F1:F31" totalsRowShown="0">
  <autoFilter ref="F1:F31" xr:uid="{28D6A6B4-801C-4559-923E-ADDC3E7B0B90}"/>
  <sortState xmlns:xlrd2="http://schemas.microsoft.com/office/spreadsheetml/2017/richdata2" ref="F2:F31">
    <sortCondition ref="F31"/>
  </sortState>
  <tableColumns count="1">
    <tableColumn id="1" xr3:uid="{3EE9AE3F-23AB-49BE-804F-42AE019AF9C8}" name="Cocin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2B69EA-454B-406B-B6DF-9E8CFF4D80E3}" name="Container" displayName="Container" ref="G1:G6" totalsRowShown="0">
  <autoFilter ref="G1:G6" xr:uid="{2D2B69EA-454B-406B-B6DF-9E8CFF4D80E3}"/>
  <sortState xmlns:xlrd2="http://schemas.microsoft.com/office/spreadsheetml/2017/richdata2" ref="G2:G6">
    <sortCondition ref="G2:G6"/>
  </sortState>
  <tableColumns count="1">
    <tableColumn id="1" xr3:uid="{2B5CA2D1-F2C8-4211-8F94-D235D2827579}" name="Container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75F236-FC76-4F88-810E-347C2F619373}" name="Iluminación" displayName="Iluminación" ref="H1:H9" totalsRowShown="0">
  <autoFilter ref="H1:H9" xr:uid="{1575F236-FC76-4F88-810E-347C2F619373}"/>
  <sortState xmlns:xlrd2="http://schemas.microsoft.com/office/spreadsheetml/2017/richdata2" ref="H2:H9">
    <sortCondition ref="H2:H9"/>
  </sortState>
  <tableColumns count="1">
    <tableColumn id="1" xr3:uid="{DE309930-2C1B-4106-8F68-1F1E73D279CE}" name="Iluminación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F89EA3-0F3C-4084-BFDD-4DA487DD2009}" name="Electricidad" displayName="Electricidad" ref="J1:J37" totalsRowShown="0">
  <autoFilter ref="J1:J37" xr:uid="{F8F89EA3-0F3C-4084-BFDD-4DA487DD2009}"/>
  <sortState xmlns:xlrd2="http://schemas.microsoft.com/office/spreadsheetml/2017/richdata2" ref="J2:J37">
    <sortCondition ref="J37"/>
  </sortState>
  <tableColumns count="1">
    <tableColumn id="1" xr3:uid="{C0002741-54FD-498C-B5F2-0E8C37DF66D8}" name="Electricidad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299F79-AAC3-4CBE-82BC-6861916AFC6E}" name="Fachada" displayName="Fachada" ref="K1:K9" totalsRowShown="0">
  <autoFilter ref="K1:K9" xr:uid="{8E299F79-AAC3-4CBE-82BC-6861916AFC6E}"/>
  <sortState xmlns:xlrd2="http://schemas.microsoft.com/office/spreadsheetml/2017/richdata2" ref="K2:K9">
    <sortCondition ref="K3:K9"/>
  </sortState>
  <tableColumns count="1">
    <tableColumn id="1" xr3:uid="{2E048B09-42DA-4589-808E-B4602A575E83}" name="Fachada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AABEBC-20AB-4BA2-A0D7-315371D86541}" name="Grifería" displayName="Grifería" ref="M1:M4" totalsRowShown="0">
  <autoFilter ref="M1:M4" xr:uid="{8EAABEBC-20AB-4BA2-A0D7-315371D86541}"/>
  <sortState xmlns:xlrd2="http://schemas.microsoft.com/office/spreadsheetml/2017/richdata2" ref="M2:M4">
    <sortCondition ref="M2:M4"/>
  </sortState>
  <tableColumns count="1">
    <tableColumn id="1" xr3:uid="{6AEADFF5-837E-4555-B76F-CFE57442ED57}" name="Grifería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DDD8435-FB81-46F6-B4C8-941908AD8779}" name="Obras" displayName="Obras" ref="N1:N2" totalsRowShown="0">
  <autoFilter ref="N1:N2" xr:uid="{CDDD8435-FB81-46F6-B4C8-941908AD8779}"/>
  <tableColumns count="1">
    <tableColumn id="1" xr3:uid="{74CD1061-D37F-41E7-94DF-70ABFE0ACFF8}" name="Obra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E7DF7DB-9AAC-470B-A3DC-E8BBBFEDE733}" name="Pintura" displayName="Pintura" ref="O1:O20" totalsRowShown="0">
  <autoFilter ref="O1:O20" xr:uid="{7E7DF7DB-9AAC-470B-A3DC-E8BBBFEDE733}"/>
  <sortState xmlns:xlrd2="http://schemas.microsoft.com/office/spreadsheetml/2017/richdata2" ref="O2:O20">
    <sortCondition ref="O2:O20"/>
  </sortState>
  <tableColumns count="1">
    <tableColumn id="1" xr3:uid="{E88B0857-192E-4B78-B80A-7CE89F513B02}" name="Pintura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54A452-07EB-438E-BE3C-BAAE5618351D}" name="Piso" displayName="Piso" ref="P1:P11" totalsRowShown="0">
  <autoFilter ref="P1:P11" xr:uid="{7754A452-07EB-438E-BE3C-BAAE5618351D}"/>
  <sortState xmlns:xlrd2="http://schemas.microsoft.com/office/spreadsheetml/2017/richdata2" ref="P2:P11">
    <sortCondition ref="P2:P11"/>
  </sortState>
  <tableColumns count="1">
    <tableColumn id="1" xr3:uid="{9BDF3AB2-E58C-4D82-BA93-326B6BF9AFC4}" name="Piso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B9BFD7-6B0D-4342-9E02-490247AFB1DE}" name="Puerta" displayName="Puerta" ref="Q1:Q43" totalsRowShown="0">
  <autoFilter ref="Q1:Q43" xr:uid="{49B9BFD7-6B0D-4342-9E02-490247AFB1DE}"/>
  <sortState xmlns:xlrd2="http://schemas.microsoft.com/office/spreadsheetml/2017/richdata2" ref="Q2:Q42">
    <sortCondition ref="Q39:Q42"/>
  </sortState>
  <tableColumns count="1">
    <tableColumn id="1" xr3:uid="{EEEC0510-D269-4E43-A80A-D138A2E4E5AF}" name="Puerta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7B6E761-6CAE-4D98-9702-9BB6042B8A9C}" name="Sanitario" displayName="Sanitario" ref="R1:R28" totalsRowShown="0">
  <autoFilter ref="R1:R28" xr:uid="{77B6E761-6CAE-4D98-9702-9BB6042B8A9C}"/>
  <sortState xmlns:xlrd2="http://schemas.microsoft.com/office/spreadsheetml/2017/richdata2" ref="R2:R28">
    <sortCondition ref="R2:R28"/>
  </sortState>
  <tableColumns count="1">
    <tableColumn id="1" xr3:uid="{BE9ECE96-DEE6-4B8D-97BC-9EE2553C295E}" name="Sanitario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F59609-D0D9-4648-8743-327165FC1770}" name="Tabiquería" displayName="Tabiquería" ref="S1:S82" totalsRowShown="0">
  <autoFilter ref="S1:S82" xr:uid="{D8F59609-D0D9-4648-8743-327165FC1770}"/>
  <sortState xmlns:xlrd2="http://schemas.microsoft.com/office/spreadsheetml/2017/richdata2" ref="S2:S82">
    <sortCondition ref="S81:S82"/>
  </sortState>
  <tableColumns count="1">
    <tableColumn id="1" xr3:uid="{B2BB11F0-B625-46EA-A135-9E6704741DED}" name="Tabiquería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350F4D5-F0BB-4A35-9C09-8B0B8531CDF2}" name="Unión" displayName="Unión" ref="W1:W5" totalsRowShown="0">
  <autoFilter ref="W1:W5" xr:uid="{C350F4D5-F0BB-4A35-9C09-8B0B8531CDF2}"/>
  <sortState xmlns:xlrd2="http://schemas.microsoft.com/office/spreadsheetml/2017/richdata2" ref="W2:W5">
    <sortCondition ref="W2:W5"/>
  </sortState>
  <tableColumns count="1">
    <tableColumn id="1" xr3:uid="{821F33A6-C9C0-45BE-AD4E-7D61A618B072}" name="Unión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484D071-2378-4D7D-B52C-C56FD0F5ED04}" name="Varios" displayName="Varios" ref="X1:X40" totalsRowShown="0">
  <autoFilter ref="X1:X40" xr:uid="{A484D071-2378-4D7D-B52C-C56FD0F5ED04}"/>
  <sortState xmlns:xlrd2="http://schemas.microsoft.com/office/spreadsheetml/2017/richdata2" ref="X2:X39">
    <sortCondition ref="X38:X39"/>
  </sortState>
  <tableColumns count="1">
    <tableColumn id="1" xr3:uid="{3ED882F2-CDB0-4500-A159-CE187380C7EA}" name="Varios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9AFBCEA-8129-4A88-A6F8-E8C2F96CD194}" name="Ventana" displayName="Ventana" ref="Y1:Y91" totalsRowShown="0">
  <autoFilter ref="Y1:Y91" xr:uid="{39AFBCEA-8129-4A88-A6F8-E8C2F96CD194}"/>
  <sortState xmlns:xlrd2="http://schemas.microsoft.com/office/spreadsheetml/2017/richdata2" ref="Y2:Y91">
    <sortCondition ref="Y78:Y91"/>
  </sortState>
  <tableColumns count="1">
    <tableColumn id="1" xr3:uid="{1C96D232-639F-463B-9342-FCE3EB2C5BF8}" name="Ventana" dataDxfId="196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30186-6F74-4F24-B949-E331CBB546BA}" name="Techo" displayName="Techo" ref="T1:T2" totalsRowShown="0" dataDxfId="195">
  <autoFilter ref="T1:T2" xr:uid="{89430186-6F74-4F24-B949-E331CBB546BA}"/>
  <tableColumns count="1">
    <tableColumn id="1" xr3:uid="{BE8FB999-3F41-4AB0-927E-2F6B07AD1D96}" name="Techo" dataDxfId="194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5204E-BCF7-4B5D-BC97-FA0DBD893FA6}" name="Living" displayName="Living" ref="I1:I2" totalsRowShown="0" tableBorderDxfId="193">
  <autoFilter ref="I1:I2" xr:uid="{5FF5204E-BCF7-4B5D-BC97-FA0DBD893FA6}"/>
  <tableColumns count="1">
    <tableColumn id="1" xr3:uid="{34D7AD8A-E6C4-467F-BD25-1AD545C78989}" name="Living" dataDxfId="192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EDCD64-314C-4141-ADD1-2012C3DF2F2A}" name="Terraza" displayName="Terraza" ref="U1:U5" totalsRowShown="0">
  <autoFilter ref="U1:U5" xr:uid="{57EDCD64-314C-4141-ADD1-2012C3DF2F2A}"/>
  <sortState xmlns:xlrd2="http://schemas.microsoft.com/office/spreadsheetml/2017/richdata2" ref="U2:U5">
    <sortCondition ref="U2:U5"/>
  </sortState>
  <tableColumns count="1">
    <tableColumn id="1" xr3:uid="{3BB3DCF8-022E-4F10-85BF-067274A30F65}" name="Terraza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7C559-F7E6-4634-B83E-BBF760E5EA48}" name="transporte" displayName="transporte" ref="V1:V3" totalsRowShown="0">
  <autoFilter ref="V1:V3" xr:uid="{D527C559-F7E6-4634-B83E-BBF760E5EA48}"/>
  <tableColumns count="1">
    <tableColumn id="1" xr3:uid="{50BDE477-E86B-47E3-9112-027E5433A5C2}" name="Transporte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0FC74-CC39-46D5-844C-29F9214BC357}" name="Fundiciones" displayName="Fundiciones" ref="L1:L7" totalsRowShown="0">
  <autoFilter ref="L1:L7" xr:uid="{99C0FC74-CC39-46D5-844C-29F9214BC357}"/>
  <sortState xmlns:xlrd2="http://schemas.microsoft.com/office/spreadsheetml/2017/richdata2" ref="L2:L7">
    <sortCondition ref="L2:L7"/>
  </sortState>
  <tableColumns count="1">
    <tableColumn id="1" xr3:uid="{3E94E20A-365A-478C-B877-F09A81C6A5E0}" name="Fundi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4CD2-7011-49BD-874D-85A0E4633FC7}">
  <sheetPr>
    <tabColor theme="8" tint="0.59999389629810485"/>
  </sheetPr>
  <dimension ref="A1:H506"/>
  <sheetViews>
    <sheetView zoomScaleNormal="100" workbookViewId="0">
      <selection activeCell="C4" sqref="C4"/>
    </sheetView>
  </sheetViews>
  <sheetFormatPr baseColWidth="10" defaultColWidth="11.44140625" defaultRowHeight="14.4" x14ac:dyDescent="0.3"/>
  <cols>
    <col min="1" max="1" width="73.33203125" customWidth="1"/>
    <col min="2" max="2" width="11.88671875" bestFit="1" customWidth="1"/>
    <col min="3" max="3" width="15.6640625" customWidth="1"/>
    <col min="4" max="4" width="16.109375" style="12" customWidth="1"/>
    <col min="5" max="5" width="52.109375" customWidth="1"/>
    <col min="8" max="8" width="15.4414062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1" t="s">
        <v>8</v>
      </c>
      <c r="B2" s="1" t="s">
        <v>9</v>
      </c>
      <c r="C2" s="1" t="s">
        <v>2</v>
      </c>
      <c r="D2" s="8">
        <v>112600</v>
      </c>
      <c r="E2" s="1" t="s">
        <v>10</v>
      </c>
      <c r="F2" s="1" t="s">
        <v>11</v>
      </c>
      <c r="G2" s="1" t="s">
        <v>11</v>
      </c>
    </row>
    <row r="3" spans="1:8" x14ac:dyDescent="0.3">
      <c r="A3" s="1" t="s">
        <v>12</v>
      </c>
      <c r="B3" s="1" t="s">
        <v>9</v>
      </c>
      <c r="C3" s="1" t="s">
        <v>2</v>
      </c>
      <c r="D3" s="8">
        <v>159990</v>
      </c>
      <c r="E3" s="1" t="s">
        <v>13</v>
      </c>
      <c r="F3" s="1" t="s">
        <v>11</v>
      </c>
      <c r="G3" s="1" t="s">
        <v>11</v>
      </c>
    </row>
    <row r="4" spans="1:8" x14ac:dyDescent="0.3">
      <c r="A4" s="1" t="s">
        <v>14</v>
      </c>
      <c r="B4" s="1" t="s">
        <v>9</v>
      </c>
      <c r="C4" s="1" t="s">
        <v>2</v>
      </c>
      <c r="D4" s="8">
        <v>800000</v>
      </c>
      <c r="E4" s="1" t="s">
        <v>15</v>
      </c>
      <c r="F4" s="1" t="s">
        <v>11</v>
      </c>
      <c r="G4" s="1" t="s">
        <v>11</v>
      </c>
      <c r="H4" t="s">
        <v>16</v>
      </c>
    </row>
    <row r="5" spans="1:8" x14ac:dyDescent="0.3">
      <c r="A5" s="1" t="s">
        <v>17</v>
      </c>
      <c r="B5" s="1" t="s">
        <v>9</v>
      </c>
      <c r="C5" s="1" t="s">
        <v>2</v>
      </c>
      <c r="D5" s="8">
        <v>800000</v>
      </c>
      <c r="E5" s="1"/>
      <c r="F5" s="1" t="s">
        <v>11</v>
      </c>
      <c r="G5" s="1" t="s">
        <v>11</v>
      </c>
      <c r="H5" t="s">
        <v>16</v>
      </c>
    </row>
    <row r="6" spans="1:8" x14ac:dyDescent="0.3">
      <c r="A6" s="1" t="s">
        <v>18</v>
      </c>
      <c r="B6" s="1" t="s">
        <v>9</v>
      </c>
      <c r="C6" s="1" t="s">
        <v>2</v>
      </c>
      <c r="D6" s="8">
        <v>850000</v>
      </c>
      <c r="E6" s="1"/>
      <c r="F6" s="1" t="s">
        <v>11</v>
      </c>
      <c r="G6" s="1" t="s">
        <v>11</v>
      </c>
      <c r="H6" t="s">
        <v>16</v>
      </c>
    </row>
    <row r="7" spans="1:8" x14ac:dyDescent="0.3">
      <c r="A7" s="1" t="s">
        <v>19</v>
      </c>
      <c r="B7" s="1" t="s">
        <v>9</v>
      </c>
      <c r="C7" s="1" t="s">
        <v>2</v>
      </c>
      <c r="D7" s="8">
        <v>950000</v>
      </c>
      <c r="E7" s="1"/>
      <c r="F7" s="1" t="s">
        <v>11</v>
      </c>
      <c r="G7" s="1" t="s">
        <v>11</v>
      </c>
      <c r="H7" t="s">
        <v>16</v>
      </c>
    </row>
    <row r="8" spans="1:8" x14ac:dyDescent="0.3">
      <c r="A8" s="9" t="s">
        <v>20</v>
      </c>
      <c r="B8" s="1" t="s">
        <v>9</v>
      </c>
      <c r="C8" s="1" t="s">
        <v>2</v>
      </c>
      <c r="D8" s="8">
        <v>900000</v>
      </c>
      <c r="E8" s="1"/>
      <c r="F8" s="1" t="s">
        <v>11</v>
      </c>
      <c r="G8" s="1" t="s">
        <v>11</v>
      </c>
      <c r="H8" t="s">
        <v>16</v>
      </c>
    </row>
    <row r="9" spans="1:8" x14ac:dyDescent="0.3">
      <c r="A9" s="33" t="s">
        <v>21</v>
      </c>
      <c r="B9" s="1" t="s">
        <v>9</v>
      </c>
      <c r="C9" s="1" t="s">
        <v>2</v>
      </c>
      <c r="D9" s="8">
        <v>1000000</v>
      </c>
      <c r="E9" s="1" t="s">
        <v>22</v>
      </c>
      <c r="F9" s="1" t="s">
        <v>11</v>
      </c>
      <c r="G9" s="1" t="s">
        <v>11</v>
      </c>
    </row>
    <row r="10" spans="1:8" x14ac:dyDescent="0.3">
      <c r="A10" s="1" t="s">
        <v>23</v>
      </c>
      <c r="B10" s="1" t="s">
        <v>9</v>
      </c>
      <c r="C10" s="1" t="s">
        <v>2</v>
      </c>
      <c r="D10" s="8">
        <v>800000</v>
      </c>
      <c r="E10" s="1" t="s">
        <v>24</v>
      </c>
      <c r="F10" s="1" t="s">
        <v>11</v>
      </c>
      <c r="G10" s="1" t="s">
        <v>11</v>
      </c>
      <c r="H10" s="33"/>
    </row>
    <row r="11" spans="1:8" x14ac:dyDescent="0.3">
      <c r="A11" s="1" t="s">
        <v>25</v>
      </c>
      <c r="B11" s="1" t="s">
        <v>9</v>
      </c>
      <c r="C11" s="1" t="s">
        <v>2</v>
      </c>
      <c r="D11" s="8">
        <v>350000</v>
      </c>
      <c r="E11" s="1" t="s">
        <v>26</v>
      </c>
      <c r="F11" s="1" t="s">
        <v>11</v>
      </c>
      <c r="G11" s="1" t="s">
        <v>11</v>
      </c>
    </row>
    <row r="12" spans="1:8" x14ac:dyDescent="0.3">
      <c r="A12" s="1" t="s">
        <v>27</v>
      </c>
      <c r="B12" s="1" t="s">
        <v>9</v>
      </c>
      <c r="C12" s="1" t="s">
        <v>2</v>
      </c>
      <c r="D12" s="8">
        <v>350000</v>
      </c>
      <c r="E12" s="1"/>
      <c r="F12" s="1" t="s">
        <v>28</v>
      </c>
      <c r="G12" s="1" t="s">
        <v>11</v>
      </c>
      <c r="H12" t="s">
        <v>16</v>
      </c>
    </row>
    <row r="13" spans="1:8" x14ac:dyDescent="0.3">
      <c r="A13" s="11" t="s">
        <v>29</v>
      </c>
      <c r="B13" s="1" t="s">
        <v>9</v>
      </c>
      <c r="C13" s="1" t="s">
        <v>2</v>
      </c>
      <c r="D13" s="8">
        <v>50000</v>
      </c>
      <c r="E13" s="1" t="s">
        <v>26</v>
      </c>
      <c r="F13" s="1" t="s">
        <v>11</v>
      </c>
      <c r="G13" s="1" t="s">
        <v>11</v>
      </c>
    </row>
    <row r="14" spans="1:8" x14ac:dyDescent="0.3">
      <c r="A14" s="1" t="s">
        <v>30</v>
      </c>
      <c r="B14" s="1" t="s">
        <v>9</v>
      </c>
      <c r="C14" s="1" t="s">
        <v>2</v>
      </c>
      <c r="D14" s="8">
        <v>40000</v>
      </c>
      <c r="E14" s="1" t="s">
        <v>31</v>
      </c>
      <c r="F14" s="1" t="s">
        <v>11</v>
      </c>
      <c r="G14" s="1" t="s">
        <v>11</v>
      </c>
    </row>
    <row r="15" spans="1:8" x14ac:dyDescent="0.3">
      <c r="A15" s="1" t="s">
        <v>32</v>
      </c>
      <c r="B15" s="1" t="s">
        <v>9</v>
      </c>
      <c r="C15" s="1" t="s">
        <v>2</v>
      </c>
      <c r="D15" s="8">
        <v>1500000</v>
      </c>
      <c r="E15" s="1" t="s">
        <v>33</v>
      </c>
      <c r="F15" s="1" t="s">
        <v>11</v>
      </c>
      <c r="G15" s="1" t="s">
        <v>11</v>
      </c>
    </row>
    <row r="16" spans="1:8" x14ac:dyDescent="0.3">
      <c r="A16" s="1" t="s">
        <v>34</v>
      </c>
      <c r="B16" s="1" t="s">
        <v>9</v>
      </c>
      <c r="C16" s="1" t="s">
        <v>2</v>
      </c>
      <c r="D16" s="8">
        <v>70400</v>
      </c>
      <c r="E16" s="1" t="s">
        <v>13</v>
      </c>
      <c r="F16" s="1" t="s">
        <v>11</v>
      </c>
      <c r="G16" s="1" t="s">
        <v>11</v>
      </c>
    </row>
    <row r="17" spans="1:8" x14ac:dyDescent="0.3">
      <c r="A17" s="9" t="s">
        <v>35</v>
      </c>
      <c r="B17" s="1" t="s">
        <v>9</v>
      </c>
      <c r="C17" s="1" t="s">
        <v>2</v>
      </c>
      <c r="D17" s="8">
        <v>50000</v>
      </c>
      <c r="E17" s="1" t="s">
        <v>36</v>
      </c>
      <c r="F17" s="1" t="s">
        <v>11</v>
      </c>
      <c r="G17" s="1" t="s">
        <v>11</v>
      </c>
    </row>
    <row r="18" spans="1:8" x14ac:dyDescent="0.3">
      <c r="A18" s="1" t="s">
        <v>37</v>
      </c>
      <c r="B18" s="1" t="s">
        <v>9</v>
      </c>
      <c r="C18" s="1" t="s">
        <v>2</v>
      </c>
      <c r="D18" s="8">
        <v>200000</v>
      </c>
      <c r="E18" s="1" t="s">
        <v>24</v>
      </c>
      <c r="F18" s="1" t="s">
        <v>11</v>
      </c>
      <c r="G18" s="1" t="s">
        <v>11</v>
      </c>
    </row>
    <row r="19" spans="1:8" x14ac:dyDescent="0.3">
      <c r="A19" s="1" t="s">
        <v>38</v>
      </c>
      <c r="B19" s="1" t="s">
        <v>9</v>
      </c>
      <c r="C19" s="1" t="s">
        <v>2</v>
      </c>
      <c r="D19" s="8">
        <v>400000</v>
      </c>
      <c r="E19" s="1" t="s">
        <v>24</v>
      </c>
      <c r="F19" s="1" t="s">
        <v>11</v>
      </c>
      <c r="G19" s="1" t="s">
        <v>11</v>
      </c>
    </row>
    <row r="20" spans="1:8" x14ac:dyDescent="0.3">
      <c r="A20" s="1" t="s">
        <v>39</v>
      </c>
      <c r="B20" s="1" t="s">
        <v>9</v>
      </c>
      <c r="C20" s="1" t="s">
        <v>2</v>
      </c>
      <c r="D20" s="8">
        <v>40000</v>
      </c>
      <c r="E20" s="1" t="s">
        <v>40</v>
      </c>
      <c r="F20" s="1" t="s">
        <v>11</v>
      </c>
      <c r="G20" s="1" t="s">
        <v>11</v>
      </c>
    </row>
    <row r="21" spans="1:8" x14ac:dyDescent="0.3">
      <c r="A21" s="1" t="s">
        <v>41</v>
      </c>
      <c r="B21" s="1" t="s">
        <v>9</v>
      </c>
      <c r="C21" s="1" t="s">
        <v>2</v>
      </c>
      <c r="D21" s="8">
        <v>50000</v>
      </c>
      <c r="E21" s="1" t="s">
        <v>40</v>
      </c>
      <c r="F21" s="1" t="s">
        <v>11</v>
      </c>
      <c r="G21" s="1" t="s">
        <v>11</v>
      </c>
    </row>
    <row r="22" spans="1:8" x14ac:dyDescent="0.3">
      <c r="A22" s="33" t="s">
        <v>42</v>
      </c>
      <c r="B22" s="1" t="s">
        <v>9</v>
      </c>
      <c r="C22" s="1" t="s">
        <v>43</v>
      </c>
      <c r="D22" s="8">
        <v>4000</v>
      </c>
      <c r="E22" s="1" t="s">
        <v>36</v>
      </c>
      <c r="F22" s="1" t="s">
        <v>11</v>
      </c>
      <c r="G22" s="1" t="s">
        <v>11</v>
      </c>
    </row>
    <row r="23" spans="1:8" x14ac:dyDescent="0.3">
      <c r="A23" s="33" t="s">
        <v>44</v>
      </c>
      <c r="B23" s="1" t="s">
        <v>9</v>
      </c>
      <c r="C23" s="1" t="s">
        <v>43</v>
      </c>
      <c r="D23" s="8">
        <v>2500</v>
      </c>
      <c r="E23" s="1" t="s">
        <v>36</v>
      </c>
      <c r="F23" s="1" t="s">
        <v>11</v>
      </c>
      <c r="G23" s="1" t="s">
        <v>11</v>
      </c>
    </row>
    <row r="24" spans="1:8" x14ac:dyDescent="0.3">
      <c r="A24" s="33" t="s">
        <v>45</v>
      </c>
      <c r="B24" s="1" t="s">
        <v>9</v>
      </c>
      <c r="C24" s="1" t="s">
        <v>43</v>
      </c>
      <c r="D24" s="8">
        <v>8000</v>
      </c>
      <c r="E24" s="1" t="s">
        <v>36</v>
      </c>
      <c r="F24" s="1" t="s">
        <v>11</v>
      </c>
      <c r="G24" s="1" t="s">
        <v>11</v>
      </c>
    </row>
    <row r="25" spans="1:8" x14ac:dyDescent="0.3">
      <c r="A25" s="9" t="s">
        <v>46</v>
      </c>
      <c r="B25" s="1" t="s">
        <v>9</v>
      </c>
      <c r="C25" s="1" t="s">
        <v>2</v>
      </c>
      <c r="D25" s="8">
        <f>90000/1.19</f>
        <v>75630.252100840342</v>
      </c>
      <c r="E25" s="1" t="s">
        <v>47</v>
      </c>
      <c r="F25" s="1" t="s">
        <v>11</v>
      </c>
      <c r="G25" s="1" t="s">
        <v>11</v>
      </c>
    </row>
    <row r="26" spans="1:8" x14ac:dyDescent="0.3">
      <c r="A26" s="11" t="s">
        <v>48</v>
      </c>
      <c r="B26" s="1" t="s">
        <v>9</v>
      </c>
      <c r="C26" s="1" t="s">
        <v>2</v>
      </c>
      <c r="D26" s="8">
        <v>60000</v>
      </c>
      <c r="E26" s="1" t="s">
        <v>49</v>
      </c>
      <c r="F26" s="1" t="s">
        <v>11</v>
      </c>
      <c r="G26" s="1" t="s">
        <v>11</v>
      </c>
    </row>
    <row r="27" spans="1:8" x14ac:dyDescent="0.3">
      <c r="A27" s="9" t="s">
        <v>50</v>
      </c>
      <c r="B27" s="1" t="s">
        <v>9</v>
      </c>
      <c r="C27" s="1" t="s">
        <v>2</v>
      </c>
      <c r="D27" s="8">
        <v>300000</v>
      </c>
      <c r="E27" s="1" t="s">
        <v>51</v>
      </c>
      <c r="F27" s="1" t="s">
        <v>11</v>
      </c>
      <c r="G27" s="1" t="s">
        <v>11</v>
      </c>
    </row>
    <row r="28" spans="1:8" x14ac:dyDescent="0.3">
      <c r="A28" s="9" t="s">
        <v>52</v>
      </c>
      <c r="B28" s="1" t="s">
        <v>9</v>
      </c>
      <c r="C28" s="1" t="s">
        <v>2</v>
      </c>
      <c r="D28" s="8">
        <v>70000</v>
      </c>
      <c r="E28" s="1" t="s">
        <v>53</v>
      </c>
      <c r="F28" s="1" t="s">
        <v>11</v>
      </c>
      <c r="G28" s="1" t="s">
        <v>11</v>
      </c>
    </row>
    <row r="29" spans="1:8" x14ac:dyDescent="0.3">
      <c r="A29" s="1" t="s">
        <v>54</v>
      </c>
      <c r="B29" s="1" t="s">
        <v>9</v>
      </c>
      <c r="C29" s="1" t="s">
        <v>2</v>
      </c>
      <c r="D29" s="8">
        <v>600000</v>
      </c>
      <c r="E29" s="1"/>
      <c r="F29" s="1" t="s">
        <v>11</v>
      </c>
      <c r="G29" s="1" t="s">
        <v>11</v>
      </c>
      <c r="H29" t="s">
        <v>16</v>
      </c>
    </row>
    <row r="30" spans="1:8" x14ac:dyDescent="0.3">
      <c r="A30" s="1" t="s">
        <v>55</v>
      </c>
      <c r="B30" s="1" t="s">
        <v>9</v>
      </c>
      <c r="C30" s="1" t="s">
        <v>2</v>
      </c>
      <c r="D30" s="8">
        <v>700000</v>
      </c>
      <c r="E30" s="1"/>
      <c r="F30" s="1" t="s">
        <v>11</v>
      </c>
      <c r="G30" s="1" t="s">
        <v>11</v>
      </c>
      <c r="H30" t="s">
        <v>16</v>
      </c>
    </row>
    <row r="31" spans="1:8" x14ac:dyDescent="0.3">
      <c r="A31" s="1" t="s">
        <v>56</v>
      </c>
      <c r="B31" s="1" t="s">
        <v>9</v>
      </c>
      <c r="C31" s="1" t="s">
        <v>2</v>
      </c>
      <c r="D31" s="8">
        <v>540000</v>
      </c>
      <c r="E31" s="1" t="s">
        <v>57</v>
      </c>
      <c r="F31" s="1" t="s">
        <v>11</v>
      </c>
      <c r="G31" s="1" t="s">
        <v>11</v>
      </c>
    </row>
    <row r="32" spans="1:8" x14ac:dyDescent="0.3">
      <c r="A32" s="1" t="s">
        <v>58</v>
      </c>
      <c r="B32" s="1" t="s">
        <v>59</v>
      </c>
      <c r="C32" s="1" t="s">
        <v>60</v>
      </c>
      <c r="D32" s="102">
        <v>39033</v>
      </c>
      <c r="E32" s="1" t="s">
        <v>61</v>
      </c>
      <c r="F32" s="1" t="s">
        <v>11</v>
      </c>
      <c r="G32" s="1" t="s">
        <v>11</v>
      </c>
    </row>
    <row r="33" spans="1:7" x14ac:dyDescent="0.3">
      <c r="A33" s="1" t="s">
        <v>62</v>
      </c>
      <c r="B33" s="1" t="s">
        <v>59</v>
      </c>
      <c r="C33" s="1" t="s">
        <v>43</v>
      </c>
      <c r="D33" s="8">
        <v>8000</v>
      </c>
      <c r="E33" s="1" t="s">
        <v>63</v>
      </c>
      <c r="F33" s="1" t="s">
        <v>11</v>
      </c>
      <c r="G33" s="1" t="s">
        <v>11</v>
      </c>
    </row>
    <row r="34" spans="1:7" x14ac:dyDescent="0.3">
      <c r="A34" s="1" t="s">
        <v>64</v>
      </c>
      <c r="B34" s="1" t="s">
        <v>59</v>
      </c>
      <c r="C34" s="1" t="s">
        <v>65</v>
      </c>
      <c r="D34" s="8">
        <v>1904000</v>
      </c>
      <c r="E34" s="1" t="s">
        <v>66</v>
      </c>
      <c r="F34" s="1" t="s">
        <v>11</v>
      </c>
      <c r="G34" s="1" t="s">
        <v>28</v>
      </c>
    </row>
    <row r="35" spans="1:7" x14ac:dyDescent="0.3">
      <c r="A35" s="1" t="s">
        <v>67</v>
      </c>
      <c r="B35" s="1" t="s">
        <v>59</v>
      </c>
      <c r="C35" s="1" t="s">
        <v>65</v>
      </c>
      <c r="D35" s="8">
        <v>768000</v>
      </c>
      <c r="E35" s="1" t="s">
        <v>66</v>
      </c>
      <c r="F35" s="1" t="s">
        <v>11</v>
      </c>
      <c r="G35" s="1" t="s">
        <v>28</v>
      </c>
    </row>
    <row r="36" spans="1:7" x14ac:dyDescent="0.3">
      <c r="A36" s="1" t="s">
        <v>68</v>
      </c>
      <c r="B36" s="1" t="s">
        <v>59</v>
      </c>
      <c r="C36" s="1" t="s">
        <v>65</v>
      </c>
      <c r="D36" s="8">
        <v>960000</v>
      </c>
      <c r="E36" s="1" t="s">
        <v>66</v>
      </c>
      <c r="F36" s="1" t="s">
        <v>11</v>
      </c>
      <c r="G36" s="1" t="s">
        <v>28</v>
      </c>
    </row>
    <row r="37" spans="1:7" x14ac:dyDescent="0.3">
      <c r="A37" s="1" t="s">
        <v>69</v>
      </c>
      <c r="B37" s="1" t="s">
        <v>59</v>
      </c>
      <c r="C37" s="1" t="s">
        <v>65</v>
      </c>
      <c r="D37" s="8">
        <v>1216000</v>
      </c>
      <c r="E37" s="1" t="s">
        <v>66</v>
      </c>
      <c r="F37" s="1" t="s">
        <v>11</v>
      </c>
      <c r="G37" s="1" t="s">
        <v>28</v>
      </c>
    </row>
    <row r="38" spans="1:7" x14ac:dyDescent="0.3">
      <c r="A38" s="1" t="s">
        <v>70</v>
      </c>
      <c r="B38" s="1" t="s">
        <v>59</v>
      </c>
      <c r="C38" s="1" t="s">
        <v>65</v>
      </c>
      <c r="D38" s="8">
        <v>1584000</v>
      </c>
      <c r="E38" s="1" t="s">
        <v>66</v>
      </c>
      <c r="F38" s="1" t="s">
        <v>11</v>
      </c>
      <c r="G38" s="1" t="s">
        <v>28</v>
      </c>
    </row>
    <row r="39" spans="1:7" x14ac:dyDescent="0.3">
      <c r="A39" s="1" t="s">
        <v>71</v>
      </c>
      <c r="B39" s="1" t="s">
        <v>59</v>
      </c>
      <c r="C39" s="1" t="s">
        <v>60</v>
      </c>
      <c r="D39" s="8">
        <v>8000</v>
      </c>
      <c r="E39" s="1" t="s">
        <v>63</v>
      </c>
      <c r="F39" s="1" t="s">
        <v>11</v>
      </c>
      <c r="G39" s="1" t="s">
        <v>11</v>
      </c>
    </row>
    <row r="40" spans="1:7" x14ac:dyDescent="0.3">
      <c r="A40" s="1" t="s">
        <v>72</v>
      </c>
      <c r="B40" s="1" t="s">
        <v>59</v>
      </c>
      <c r="C40" s="1" t="s">
        <v>65</v>
      </c>
      <c r="D40" s="8">
        <v>960000</v>
      </c>
      <c r="E40" s="1" t="s">
        <v>66</v>
      </c>
      <c r="F40" s="1" t="s">
        <v>11</v>
      </c>
      <c r="G40" s="1" t="s">
        <v>28</v>
      </c>
    </row>
    <row r="41" spans="1:7" x14ac:dyDescent="0.3">
      <c r="A41" s="1" t="s">
        <v>73</v>
      </c>
      <c r="B41" s="1" t="s">
        <v>59</v>
      </c>
      <c r="C41" s="1" t="s">
        <v>65</v>
      </c>
      <c r="D41" s="8">
        <v>240000</v>
      </c>
      <c r="E41" s="1" t="s">
        <v>66</v>
      </c>
      <c r="F41" s="1" t="s">
        <v>11</v>
      </c>
      <c r="G41" s="1" t="s">
        <v>28</v>
      </c>
    </row>
    <row r="42" spans="1:7" x14ac:dyDescent="0.3">
      <c r="A42" s="9" t="s">
        <v>74</v>
      </c>
      <c r="B42" s="1" t="s">
        <v>59</v>
      </c>
      <c r="C42" s="1" t="s">
        <v>65</v>
      </c>
      <c r="D42" s="8">
        <v>360000</v>
      </c>
      <c r="E42" s="1" t="s">
        <v>66</v>
      </c>
      <c r="F42" s="1" t="s">
        <v>11</v>
      </c>
      <c r="G42" s="1" t="s">
        <v>28</v>
      </c>
    </row>
    <row r="43" spans="1:7" x14ac:dyDescent="0.3">
      <c r="A43" s="1" t="s">
        <v>75</v>
      </c>
      <c r="B43" s="1" t="s">
        <v>59</v>
      </c>
      <c r="C43" s="1" t="s">
        <v>65</v>
      </c>
      <c r="D43" s="8">
        <v>480000</v>
      </c>
      <c r="E43" s="1" t="s">
        <v>66</v>
      </c>
      <c r="F43" s="1" t="s">
        <v>11</v>
      </c>
      <c r="G43" s="1" t="s">
        <v>28</v>
      </c>
    </row>
    <row r="44" spans="1:7" x14ac:dyDescent="0.3">
      <c r="A44" s="1" t="s">
        <v>76</v>
      </c>
      <c r="B44" s="1" t="s">
        <v>59</v>
      </c>
      <c r="C44" s="1" t="s">
        <v>65</v>
      </c>
      <c r="D44" s="8">
        <v>720000</v>
      </c>
      <c r="E44" s="1" t="s">
        <v>66</v>
      </c>
      <c r="F44" s="1" t="s">
        <v>11</v>
      </c>
      <c r="G44" s="1" t="s">
        <v>28</v>
      </c>
    </row>
    <row r="45" spans="1:7" x14ac:dyDescent="0.3">
      <c r="A45" s="1" t="s">
        <v>77</v>
      </c>
      <c r="B45" s="1" t="s">
        <v>78</v>
      </c>
      <c r="C45" s="1" t="s">
        <v>2</v>
      </c>
      <c r="D45" s="8">
        <v>4700</v>
      </c>
      <c r="E45" s="1" t="s">
        <v>79</v>
      </c>
      <c r="F45" s="1" t="s">
        <v>11</v>
      </c>
      <c r="G45" s="1" t="s">
        <v>11</v>
      </c>
    </row>
    <row r="46" spans="1:7" x14ac:dyDescent="0.3">
      <c r="A46" s="9" t="s">
        <v>80</v>
      </c>
      <c r="B46" s="1" t="s">
        <v>78</v>
      </c>
      <c r="C46" s="1" t="s">
        <v>2</v>
      </c>
      <c r="D46" s="8">
        <v>9000</v>
      </c>
      <c r="E46" s="1" t="s">
        <v>81</v>
      </c>
      <c r="F46" s="1" t="s">
        <v>11</v>
      </c>
      <c r="G46" s="1" t="s">
        <v>11</v>
      </c>
    </row>
    <row r="47" spans="1:7" x14ac:dyDescent="0.3">
      <c r="A47" s="1" t="s">
        <v>82</v>
      </c>
      <c r="B47" s="1" t="s">
        <v>78</v>
      </c>
      <c r="C47" s="1" t="s">
        <v>2</v>
      </c>
      <c r="D47" s="8">
        <v>47000</v>
      </c>
      <c r="E47" s="103" t="s">
        <v>83</v>
      </c>
      <c r="F47" s="1" t="s">
        <v>11</v>
      </c>
      <c r="G47" s="1" t="s">
        <v>11</v>
      </c>
    </row>
    <row r="48" spans="1:7" x14ac:dyDescent="0.3">
      <c r="A48" s="1" t="s">
        <v>84</v>
      </c>
      <c r="B48" s="1" t="s">
        <v>78</v>
      </c>
      <c r="C48" s="1" t="s">
        <v>2</v>
      </c>
      <c r="D48" s="8">
        <v>15000</v>
      </c>
      <c r="E48" s="1" t="s">
        <v>85</v>
      </c>
      <c r="F48" s="1" t="s">
        <v>11</v>
      </c>
      <c r="G48" s="1" t="s">
        <v>11</v>
      </c>
    </row>
    <row r="49" spans="1:7" x14ac:dyDescent="0.3">
      <c r="A49" s="1" t="s">
        <v>86</v>
      </c>
      <c r="B49" s="1" t="s">
        <v>78</v>
      </c>
      <c r="C49" s="1" t="s">
        <v>2</v>
      </c>
      <c r="D49" s="102">
        <v>50000</v>
      </c>
      <c r="E49" s="1" t="s">
        <v>87</v>
      </c>
      <c r="F49" s="1" t="s">
        <v>11</v>
      </c>
      <c r="G49" s="1" t="s">
        <v>11</v>
      </c>
    </row>
    <row r="50" spans="1:7" x14ac:dyDescent="0.3">
      <c r="A50" s="1" t="s">
        <v>88</v>
      </c>
      <c r="B50" s="1" t="s">
        <v>78</v>
      </c>
      <c r="C50" s="1" t="s">
        <v>2</v>
      </c>
      <c r="D50" s="102">
        <v>50000</v>
      </c>
      <c r="E50" s="1" t="s">
        <v>87</v>
      </c>
      <c r="F50" s="1" t="s">
        <v>11</v>
      </c>
      <c r="G50" s="1" t="s">
        <v>11</v>
      </c>
    </row>
    <row r="51" spans="1:7" x14ac:dyDescent="0.3">
      <c r="A51" s="1" t="s">
        <v>89</v>
      </c>
      <c r="B51" s="1" t="s">
        <v>78</v>
      </c>
      <c r="C51" s="1" t="s">
        <v>2</v>
      </c>
      <c r="D51" s="8">
        <v>3000</v>
      </c>
      <c r="E51" s="1" t="s">
        <v>90</v>
      </c>
      <c r="F51" s="1" t="s">
        <v>28</v>
      </c>
      <c r="G51" s="1" t="s">
        <v>11</v>
      </c>
    </row>
    <row r="52" spans="1:7" x14ac:dyDescent="0.3">
      <c r="A52" s="1" t="s">
        <v>91</v>
      </c>
      <c r="B52" s="1" t="s">
        <v>78</v>
      </c>
      <c r="C52" s="1" t="s">
        <v>2</v>
      </c>
      <c r="D52" s="8">
        <f>21990/1.19</f>
        <v>18478.991596638658</v>
      </c>
      <c r="E52" s="1" t="s">
        <v>92</v>
      </c>
      <c r="F52" s="1" t="s">
        <v>11</v>
      </c>
      <c r="G52" s="1" t="s">
        <v>11</v>
      </c>
    </row>
    <row r="53" spans="1:7" x14ac:dyDescent="0.3">
      <c r="A53" s="1" t="s">
        <v>93</v>
      </c>
      <c r="B53" s="1" t="s">
        <v>78</v>
      </c>
      <c r="C53" s="1" t="s">
        <v>2</v>
      </c>
      <c r="D53" s="8">
        <f>18990/1.19</f>
        <v>15957.983193277312</v>
      </c>
      <c r="E53" s="1" t="s">
        <v>66</v>
      </c>
      <c r="F53" s="1" t="s">
        <v>11</v>
      </c>
      <c r="G53" s="1" t="s">
        <v>11</v>
      </c>
    </row>
    <row r="54" spans="1:7" x14ac:dyDescent="0.3">
      <c r="A54" s="9" t="s">
        <v>327</v>
      </c>
      <c r="B54" s="1" t="s">
        <v>78</v>
      </c>
      <c r="C54" s="1" t="s">
        <v>2</v>
      </c>
      <c r="D54" s="8">
        <f>2190/1.19</f>
        <v>1840.3361344537816</v>
      </c>
      <c r="E54" s="1" t="s">
        <v>328</v>
      </c>
      <c r="F54" s="1" t="s">
        <v>28</v>
      </c>
      <c r="G54" s="1" t="s">
        <v>11</v>
      </c>
    </row>
    <row r="55" spans="1:7" x14ac:dyDescent="0.3">
      <c r="A55" s="1" t="s">
        <v>94</v>
      </c>
      <c r="B55" s="1" t="s">
        <v>78</v>
      </c>
      <c r="C55" s="1" t="s">
        <v>2</v>
      </c>
      <c r="D55" s="8">
        <v>140000</v>
      </c>
      <c r="E55" s="1" t="s">
        <v>85</v>
      </c>
      <c r="F55" s="1" t="s">
        <v>11</v>
      </c>
      <c r="G55" s="1" t="s">
        <v>11</v>
      </c>
    </row>
    <row r="56" spans="1:7" x14ac:dyDescent="0.3">
      <c r="A56" s="1" t="s">
        <v>95</v>
      </c>
      <c r="B56" s="1" t="s">
        <v>78</v>
      </c>
      <c r="C56" s="1" t="s">
        <v>2</v>
      </c>
      <c r="D56" s="102">
        <v>50000</v>
      </c>
      <c r="E56" s="1" t="s">
        <v>96</v>
      </c>
      <c r="F56" s="1" t="s">
        <v>11</v>
      </c>
      <c r="G56" s="1" t="s">
        <v>11</v>
      </c>
    </row>
    <row r="57" spans="1:7" x14ac:dyDescent="0.3">
      <c r="A57" s="1" t="s">
        <v>97</v>
      </c>
      <c r="B57" s="1" t="s">
        <v>78</v>
      </c>
      <c r="C57" s="1" t="s">
        <v>2</v>
      </c>
      <c r="D57" s="8">
        <f>(199990/1.19)+10990</f>
        <v>179048.82352941178</v>
      </c>
      <c r="E57" s="1" t="s">
        <v>98</v>
      </c>
      <c r="F57" s="1" t="s">
        <v>11</v>
      </c>
      <c r="G57" s="1" t="s">
        <v>11</v>
      </c>
    </row>
    <row r="58" spans="1:7" x14ac:dyDescent="0.3">
      <c r="A58" s="1" t="s">
        <v>99</v>
      </c>
      <c r="B58" s="1" t="s">
        <v>78</v>
      </c>
      <c r="C58" s="1" t="s">
        <v>2</v>
      </c>
      <c r="D58" s="8">
        <f>149900/1.19</f>
        <v>125966.38655462186</v>
      </c>
      <c r="E58" s="1" t="s">
        <v>100</v>
      </c>
      <c r="F58" s="1" t="s">
        <v>11</v>
      </c>
      <c r="G58" s="1" t="s">
        <v>11</v>
      </c>
    </row>
    <row r="59" spans="1:7" x14ac:dyDescent="0.3">
      <c r="A59" s="1" t="s">
        <v>101</v>
      </c>
      <c r="B59" s="1" t="s">
        <v>78</v>
      </c>
      <c r="C59" s="1" t="s">
        <v>2</v>
      </c>
      <c r="D59" s="8">
        <v>137000</v>
      </c>
      <c r="E59" s="1" t="s">
        <v>102</v>
      </c>
      <c r="F59" s="1" t="s">
        <v>11</v>
      </c>
      <c r="G59" s="1" t="s">
        <v>11</v>
      </c>
    </row>
    <row r="60" spans="1:7" x14ac:dyDescent="0.3">
      <c r="A60" s="1" t="s">
        <v>103</v>
      </c>
      <c r="B60" s="1" t="s">
        <v>78</v>
      </c>
      <c r="C60" s="1" t="s">
        <v>2</v>
      </c>
      <c r="D60" s="8">
        <v>60990</v>
      </c>
      <c r="E60" s="1" t="s">
        <v>104</v>
      </c>
      <c r="F60" s="1" t="s">
        <v>11</v>
      </c>
      <c r="G60" s="1" t="s">
        <v>11</v>
      </c>
    </row>
    <row r="61" spans="1:7" x14ac:dyDescent="0.3">
      <c r="A61" s="1" t="s">
        <v>105</v>
      </c>
      <c r="B61" s="1" t="s">
        <v>78</v>
      </c>
      <c r="C61" s="1" t="s">
        <v>2</v>
      </c>
      <c r="D61" s="8">
        <v>309990</v>
      </c>
      <c r="E61" s="1" t="s">
        <v>104</v>
      </c>
      <c r="F61" s="1" t="s">
        <v>11</v>
      </c>
      <c r="G61" s="1" t="s">
        <v>11</v>
      </c>
    </row>
    <row r="62" spans="1:7" x14ac:dyDescent="0.3">
      <c r="A62" s="1" t="s">
        <v>106</v>
      </c>
      <c r="B62" s="1" t="s">
        <v>78</v>
      </c>
      <c r="C62" s="1" t="s">
        <v>2</v>
      </c>
      <c r="D62" s="8">
        <v>109990</v>
      </c>
      <c r="E62" s="1" t="s">
        <v>104</v>
      </c>
      <c r="F62" s="1" t="s">
        <v>11</v>
      </c>
      <c r="G62" s="1" t="s">
        <v>11</v>
      </c>
    </row>
    <row r="63" spans="1:7" x14ac:dyDescent="0.3">
      <c r="A63" s="104" t="s">
        <v>107</v>
      </c>
      <c r="B63" s="1" t="s">
        <v>78</v>
      </c>
      <c r="C63" s="1" t="s">
        <v>2</v>
      </c>
      <c r="D63" s="8">
        <f>399990/1.19</f>
        <v>336126.05042016809</v>
      </c>
      <c r="E63" s="1" t="s">
        <v>108</v>
      </c>
      <c r="F63" s="1" t="s">
        <v>11</v>
      </c>
      <c r="G63" s="1" t="s">
        <v>11</v>
      </c>
    </row>
    <row r="64" spans="1:7" x14ac:dyDescent="0.3">
      <c r="A64" s="1" t="s">
        <v>109</v>
      </c>
      <c r="B64" s="1" t="s">
        <v>78</v>
      </c>
      <c r="C64" s="1" t="s">
        <v>2</v>
      </c>
      <c r="D64" s="8">
        <v>25210</v>
      </c>
      <c r="E64" s="1" t="s">
        <v>85</v>
      </c>
      <c r="F64" s="1" t="s">
        <v>11</v>
      </c>
      <c r="G64" s="1" t="s">
        <v>11</v>
      </c>
    </row>
    <row r="65" spans="1:8" x14ac:dyDescent="0.3">
      <c r="A65" s="1" t="s">
        <v>110</v>
      </c>
      <c r="B65" s="1" t="s">
        <v>78</v>
      </c>
      <c r="C65" s="1" t="s">
        <v>2</v>
      </c>
      <c r="D65" s="8">
        <v>2500</v>
      </c>
      <c r="E65" s="1" t="s">
        <v>90</v>
      </c>
      <c r="F65" s="1" t="s">
        <v>28</v>
      </c>
      <c r="G65" s="1" t="s">
        <v>11</v>
      </c>
    </row>
    <row r="66" spans="1:8" x14ac:dyDescent="0.3">
      <c r="A66" s="1" t="s">
        <v>111</v>
      </c>
      <c r="B66" s="1" t="s">
        <v>78</v>
      </c>
      <c r="C66" s="1" t="s">
        <v>43</v>
      </c>
      <c r="D66" s="102">
        <v>6992</v>
      </c>
      <c r="E66" s="1" t="s">
        <v>112</v>
      </c>
      <c r="F66" s="1" t="s">
        <v>11</v>
      </c>
      <c r="G66" s="1" t="s">
        <v>11</v>
      </c>
    </row>
    <row r="67" spans="1:8" x14ac:dyDescent="0.3">
      <c r="A67" s="1" t="s">
        <v>343</v>
      </c>
      <c r="B67" s="1" t="s">
        <v>78</v>
      </c>
      <c r="C67" s="1" t="s">
        <v>43</v>
      </c>
      <c r="D67" s="8">
        <f>9990/1.19</f>
        <v>8394.957983193277</v>
      </c>
      <c r="E67" s="1" t="s">
        <v>344</v>
      </c>
      <c r="F67" s="1" t="s">
        <v>11</v>
      </c>
      <c r="G67" s="1" t="s">
        <v>11</v>
      </c>
    </row>
    <row r="68" spans="1:8" x14ac:dyDescent="0.3">
      <c r="A68" s="1" t="s">
        <v>113</v>
      </c>
      <c r="B68" s="1" t="s">
        <v>78</v>
      </c>
      <c r="C68" s="1" t="s">
        <v>2</v>
      </c>
      <c r="D68" s="8">
        <v>152000</v>
      </c>
      <c r="E68" s="1" t="s">
        <v>98</v>
      </c>
      <c r="F68" s="1" t="s">
        <v>11</v>
      </c>
      <c r="G68" s="1" t="s">
        <v>11</v>
      </c>
    </row>
    <row r="69" spans="1:8" x14ac:dyDescent="0.3">
      <c r="A69" s="1" t="s">
        <v>114</v>
      </c>
      <c r="B69" s="1" t="s">
        <v>78</v>
      </c>
      <c r="C69" s="1" t="s">
        <v>2</v>
      </c>
      <c r="D69" s="8">
        <v>159000</v>
      </c>
      <c r="E69" s="1" t="s">
        <v>98</v>
      </c>
      <c r="F69" s="1" t="s">
        <v>11</v>
      </c>
      <c r="G69" s="1" t="s">
        <v>11</v>
      </c>
    </row>
    <row r="70" spans="1:8" x14ac:dyDescent="0.3">
      <c r="A70" s="1" t="s">
        <v>115</v>
      </c>
      <c r="B70" s="1" t="s">
        <v>78</v>
      </c>
      <c r="C70" s="1" t="s">
        <v>2</v>
      </c>
      <c r="D70" s="8">
        <v>153190</v>
      </c>
      <c r="E70" s="1" t="s">
        <v>100</v>
      </c>
      <c r="F70" s="1" t="s">
        <v>11</v>
      </c>
      <c r="G70" s="1" t="s">
        <v>11</v>
      </c>
    </row>
    <row r="71" spans="1:8" x14ac:dyDescent="0.3">
      <c r="A71" s="11" t="s">
        <v>116</v>
      </c>
      <c r="B71" s="1" t="s">
        <v>78</v>
      </c>
      <c r="C71" s="1" t="s">
        <v>2</v>
      </c>
      <c r="D71" s="8">
        <f>89990/1.19</f>
        <v>75621.848739495807</v>
      </c>
      <c r="E71" s="1" t="s">
        <v>117</v>
      </c>
      <c r="F71" s="1" t="s">
        <v>118</v>
      </c>
      <c r="G71" s="1" t="s">
        <v>118</v>
      </c>
    </row>
    <row r="72" spans="1:8" x14ac:dyDescent="0.3">
      <c r="A72" s="11" t="s">
        <v>119</v>
      </c>
      <c r="B72" s="1" t="s">
        <v>78</v>
      </c>
      <c r="C72" s="1" t="s">
        <v>2</v>
      </c>
      <c r="D72" s="8">
        <v>1500</v>
      </c>
      <c r="E72" s="1" t="s">
        <v>85</v>
      </c>
      <c r="F72" s="1" t="s">
        <v>28</v>
      </c>
      <c r="G72" s="1" t="s">
        <v>11</v>
      </c>
    </row>
    <row r="73" spans="1:8" x14ac:dyDescent="0.3">
      <c r="A73" s="11" t="s">
        <v>120</v>
      </c>
      <c r="B73" s="1" t="s">
        <v>78</v>
      </c>
      <c r="C73" s="1" t="s">
        <v>2</v>
      </c>
      <c r="D73" s="8">
        <v>330000</v>
      </c>
      <c r="E73" s="1" t="s">
        <v>26</v>
      </c>
      <c r="F73" s="1" t="s">
        <v>11</v>
      </c>
      <c r="G73" s="1" t="s">
        <v>11</v>
      </c>
    </row>
    <row r="74" spans="1:8" x14ac:dyDescent="0.3">
      <c r="A74" s="11" t="s">
        <v>121</v>
      </c>
      <c r="B74" s="1" t="s">
        <v>78</v>
      </c>
      <c r="C74" s="1" t="s">
        <v>2</v>
      </c>
      <c r="D74" s="8">
        <v>205990</v>
      </c>
      <c r="E74" s="1" t="s">
        <v>104</v>
      </c>
      <c r="F74" s="1" t="s">
        <v>11</v>
      </c>
      <c r="G74" s="1" t="s">
        <v>11</v>
      </c>
    </row>
    <row r="75" spans="1:8" x14ac:dyDescent="0.3">
      <c r="A75" s="11" t="s">
        <v>122</v>
      </c>
      <c r="B75" s="1" t="s">
        <v>78</v>
      </c>
      <c r="C75" s="1" t="s">
        <v>2</v>
      </c>
      <c r="D75" s="8">
        <v>301990</v>
      </c>
      <c r="E75" s="1" t="s">
        <v>104</v>
      </c>
      <c r="F75" s="1" t="s">
        <v>11</v>
      </c>
      <c r="G75" s="1" t="s">
        <v>11</v>
      </c>
    </row>
    <row r="76" spans="1:8" x14ac:dyDescent="0.3">
      <c r="A76" s="11" t="s">
        <v>856</v>
      </c>
      <c r="B76" s="1" t="s">
        <v>78</v>
      </c>
      <c r="C76" s="1" t="s">
        <v>2</v>
      </c>
      <c r="D76" s="8">
        <v>90000</v>
      </c>
      <c r="E76" s="1" t="s">
        <v>857</v>
      </c>
      <c r="F76" s="1" t="s">
        <v>11</v>
      </c>
      <c r="G76" s="1" t="s">
        <v>11</v>
      </c>
    </row>
    <row r="77" spans="1:8" x14ac:dyDescent="0.3">
      <c r="A77" s="9" t="s">
        <v>347</v>
      </c>
      <c r="B77" s="1" t="s">
        <v>78</v>
      </c>
      <c r="C77" s="1" t="s">
        <v>2</v>
      </c>
      <c r="D77" s="8">
        <f>20990/1.19</f>
        <v>17638.655462184874</v>
      </c>
      <c r="E77" s="1" t="s">
        <v>328</v>
      </c>
      <c r="F77" s="1" t="s">
        <v>28</v>
      </c>
      <c r="G77" s="1" t="s">
        <v>11</v>
      </c>
    </row>
    <row r="78" spans="1:8" x14ac:dyDescent="0.3">
      <c r="A78" s="1" t="s">
        <v>123</v>
      </c>
      <c r="B78" s="1" t="s">
        <v>78</v>
      </c>
      <c r="C78" s="1" t="s">
        <v>2</v>
      </c>
      <c r="D78" s="8">
        <f>79990/1.19</f>
        <v>67218.487394957992</v>
      </c>
      <c r="E78" s="1" t="s">
        <v>124</v>
      </c>
      <c r="F78" s="1" t="s">
        <v>11</v>
      </c>
      <c r="G78" s="1" t="s">
        <v>11</v>
      </c>
      <c r="H78" t="s">
        <v>125</v>
      </c>
    </row>
    <row r="79" spans="1:8" x14ac:dyDescent="0.3">
      <c r="A79" s="1" t="s">
        <v>126</v>
      </c>
      <c r="B79" s="1" t="s">
        <v>78</v>
      </c>
      <c r="C79" s="1" t="s">
        <v>2</v>
      </c>
      <c r="D79" s="8">
        <v>113000</v>
      </c>
      <c r="E79" s="1" t="s">
        <v>85</v>
      </c>
      <c r="F79" s="1" t="s">
        <v>11</v>
      </c>
      <c r="G79" s="1" t="s">
        <v>11</v>
      </c>
    </row>
    <row r="80" spans="1:8" x14ac:dyDescent="0.3">
      <c r="A80" s="1" t="s">
        <v>127</v>
      </c>
      <c r="B80" s="1" t="s">
        <v>78</v>
      </c>
      <c r="C80" s="1" t="s">
        <v>2</v>
      </c>
      <c r="D80" s="8">
        <v>3590</v>
      </c>
      <c r="E80" s="1" t="s">
        <v>85</v>
      </c>
      <c r="F80" s="1" t="s">
        <v>28</v>
      </c>
      <c r="G80" s="1" t="s">
        <v>11</v>
      </c>
    </row>
    <row r="81" spans="1:7" x14ac:dyDescent="0.3">
      <c r="A81" s="1" t="s">
        <v>128</v>
      </c>
      <c r="B81" s="1" t="s">
        <v>78</v>
      </c>
      <c r="C81" s="1" t="s">
        <v>2</v>
      </c>
      <c r="D81" s="8">
        <v>160000</v>
      </c>
      <c r="E81" s="1" t="s">
        <v>85</v>
      </c>
      <c r="F81" s="1" t="s">
        <v>11</v>
      </c>
      <c r="G81" s="1" t="s">
        <v>11</v>
      </c>
    </row>
    <row r="82" spans="1:7" x14ac:dyDescent="0.3">
      <c r="A82" s="1" t="s">
        <v>129</v>
      </c>
      <c r="B82" s="1" t="s">
        <v>130</v>
      </c>
      <c r="C82" s="1" t="s">
        <v>2</v>
      </c>
      <c r="D82" s="8">
        <v>294110</v>
      </c>
      <c r="E82" s="1" t="s">
        <v>131</v>
      </c>
      <c r="F82" s="1" t="s">
        <v>11</v>
      </c>
      <c r="G82" s="1" t="s">
        <v>11</v>
      </c>
    </row>
    <row r="83" spans="1:7" x14ac:dyDescent="0.3">
      <c r="A83" s="1" t="s">
        <v>132</v>
      </c>
      <c r="B83" s="1" t="s">
        <v>133</v>
      </c>
      <c r="C83" s="1" t="s">
        <v>2</v>
      </c>
      <c r="D83" s="8">
        <v>286000</v>
      </c>
      <c r="E83" s="1" t="s">
        <v>134</v>
      </c>
      <c r="F83" s="1" t="s">
        <v>11</v>
      </c>
      <c r="G83" s="1" t="s">
        <v>11</v>
      </c>
    </row>
    <row r="84" spans="1:7" x14ac:dyDescent="0.3">
      <c r="A84" s="1" t="s">
        <v>135</v>
      </c>
      <c r="B84" s="1" t="s">
        <v>133</v>
      </c>
      <c r="C84" s="1" t="s">
        <v>2</v>
      </c>
      <c r="D84" s="8">
        <f>69990/1.19</f>
        <v>58815.126050420171</v>
      </c>
      <c r="E84" s="1" t="s">
        <v>136</v>
      </c>
      <c r="F84" s="1" t="s">
        <v>11</v>
      </c>
      <c r="G84" s="1" t="s">
        <v>11</v>
      </c>
    </row>
    <row r="85" spans="1:7" x14ac:dyDescent="0.3">
      <c r="A85" s="1" t="s">
        <v>137</v>
      </c>
      <c r="B85" s="1" t="s">
        <v>133</v>
      </c>
      <c r="C85" s="1" t="s">
        <v>2</v>
      </c>
      <c r="D85" s="8">
        <f>134990/1.19</f>
        <v>113436.97478991597</v>
      </c>
      <c r="E85" s="1" t="s">
        <v>138</v>
      </c>
      <c r="F85" s="1" t="s">
        <v>11</v>
      </c>
      <c r="G85" s="1" t="s">
        <v>11</v>
      </c>
    </row>
    <row r="86" spans="1:7" x14ac:dyDescent="0.3">
      <c r="A86" s="1" t="s">
        <v>139</v>
      </c>
      <c r="B86" s="1" t="s">
        <v>133</v>
      </c>
      <c r="C86" s="1" t="s">
        <v>2</v>
      </c>
      <c r="D86" s="8">
        <f>109000/1.19</f>
        <v>91596.638655462186</v>
      </c>
      <c r="E86" s="1" t="s">
        <v>140</v>
      </c>
      <c r="F86" s="1" t="s">
        <v>11</v>
      </c>
      <c r="G86" s="1" t="s">
        <v>11</v>
      </c>
    </row>
    <row r="87" spans="1:7" x14ac:dyDescent="0.3">
      <c r="A87" s="1" t="s">
        <v>141</v>
      </c>
      <c r="B87" s="1" t="s">
        <v>133</v>
      </c>
      <c r="C87" s="1" t="s">
        <v>2</v>
      </c>
      <c r="D87" s="8">
        <v>100000</v>
      </c>
      <c r="E87" s="1" t="s">
        <v>142</v>
      </c>
      <c r="F87" s="1" t="s">
        <v>11</v>
      </c>
      <c r="G87" s="1" t="s">
        <v>11</v>
      </c>
    </row>
    <row r="88" spans="1:7" x14ac:dyDescent="0.3">
      <c r="A88" s="1" t="s">
        <v>143</v>
      </c>
      <c r="B88" s="1" t="s">
        <v>133</v>
      </c>
      <c r="C88" s="1" t="s">
        <v>2</v>
      </c>
      <c r="D88" s="8">
        <f>219990/1.19</f>
        <v>184865.5462184874</v>
      </c>
      <c r="E88" s="1" t="s">
        <v>144</v>
      </c>
      <c r="F88" s="1" t="s">
        <v>11</v>
      </c>
      <c r="G88" s="1" t="s">
        <v>11</v>
      </c>
    </row>
    <row r="89" spans="1:7" x14ac:dyDescent="0.3">
      <c r="A89" s="1" t="s">
        <v>145</v>
      </c>
      <c r="B89" s="1" t="s">
        <v>133</v>
      </c>
      <c r="C89" s="1" t="s">
        <v>43</v>
      </c>
      <c r="D89" s="8">
        <v>100000</v>
      </c>
      <c r="E89" s="1" t="s">
        <v>146</v>
      </c>
      <c r="F89" s="1" t="s">
        <v>11</v>
      </c>
      <c r="G89" s="1" t="s">
        <v>28</v>
      </c>
    </row>
    <row r="90" spans="1:7" x14ac:dyDescent="0.3">
      <c r="A90" s="9" t="s">
        <v>147</v>
      </c>
      <c r="B90" s="1" t="s">
        <v>133</v>
      </c>
      <c r="C90" s="1" t="s">
        <v>2</v>
      </c>
      <c r="D90" s="8">
        <v>160000</v>
      </c>
      <c r="E90" s="1" t="s">
        <v>142</v>
      </c>
      <c r="F90" s="1" t="s">
        <v>11</v>
      </c>
      <c r="G90" s="1" t="s">
        <v>11</v>
      </c>
    </row>
    <row r="91" spans="1:7" x14ac:dyDescent="0.3">
      <c r="A91" s="1" t="s">
        <v>871</v>
      </c>
      <c r="B91" s="1" t="s">
        <v>133</v>
      </c>
      <c r="C91" s="1" t="s">
        <v>2</v>
      </c>
      <c r="D91" s="8">
        <v>650000</v>
      </c>
      <c r="E91" s="1" t="s">
        <v>873</v>
      </c>
      <c r="F91" s="1" t="s">
        <v>11</v>
      </c>
      <c r="G91" s="1" t="s">
        <v>11</v>
      </c>
    </row>
    <row r="92" spans="1:7" x14ac:dyDescent="0.3">
      <c r="A92" s="9" t="s">
        <v>148</v>
      </c>
      <c r="B92" s="1" t="s">
        <v>133</v>
      </c>
      <c r="C92" s="1" t="s">
        <v>2</v>
      </c>
      <c r="D92" s="8">
        <v>600000</v>
      </c>
      <c r="E92" s="1" t="s">
        <v>149</v>
      </c>
      <c r="F92" s="1" t="s">
        <v>11</v>
      </c>
      <c r="G92" s="1" t="s">
        <v>11</v>
      </c>
    </row>
    <row r="93" spans="1:7" x14ac:dyDescent="0.3">
      <c r="A93" s="71" t="s">
        <v>150</v>
      </c>
      <c r="B93" s="1" t="s">
        <v>133</v>
      </c>
      <c r="C93" s="1" t="s">
        <v>2</v>
      </c>
      <c r="D93" s="102">
        <f>150000/1.19</f>
        <v>126050.42016806723</v>
      </c>
      <c r="E93" s="1" t="s">
        <v>151</v>
      </c>
      <c r="F93" s="1" t="s">
        <v>11</v>
      </c>
      <c r="G93" s="1" t="s">
        <v>11</v>
      </c>
    </row>
    <row r="94" spans="1:7" x14ac:dyDescent="0.3">
      <c r="A94" s="1" t="s">
        <v>152</v>
      </c>
      <c r="B94" s="1" t="s">
        <v>133</v>
      </c>
      <c r="C94" s="1" t="s">
        <v>2</v>
      </c>
      <c r="D94" s="8">
        <v>250000</v>
      </c>
      <c r="E94" s="1" t="s">
        <v>153</v>
      </c>
      <c r="F94" s="1" t="s">
        <v>11</v>
      </c>
      <c r="G94" s="1" t="s">
        <v>11</v>
      </c>
    </row>
    <row r="95" spans="1:7" x14ac:dyDescent="0.3">
      <c r="A95" s="105" t="s">
        <v>154</v>
      </c>
      <c r="B95" s="1" t="s">
        <v>133</v>
      </c>
      <c r="C95" s="1" t="s">
        <v>2</v>
      </c>
      <c r="D95" s="8">
        <f>269990/1.19</f>
        <v>226882.35294117648</v>
      </c>
      <c r="E95" s="1" t="s">
        <v>155</v>
      </c>
      <c r="F95" s="1" t="s">
        <v>11</v>
      </c>
      <c r="G95" s="1" t="s">
        <v>11</v>
      </c>
    </row>
    <row r="96" spans="1:7" x14ac:dyDescent="0.3">
      <c r="A96" s="1" t="s">
        <v>156</v>
      </c>
      <c r="B96" s="1" t="s">
        <v>133</v>
      </c>
      <c r="C96" s="1" t="s">
        <v>2</v>
      </c>
      <c r="D96" s="8">
        <v>82345</v>
      </c>
      <c r="E96" s="1" t="s">
        <v>157</v>
      </c>
      <c r="F96" s="1" t="s">
        <v>11</v>
      </c>
      <c r="G96" s="1" t="s">
        <v>11</v>
      </c>
    </row>
    <row r="97" spans="1:7" x14ac:dyDescent="0.3">
      <c r="A97" s="1" t="s">
        <v>158</v>
      </c>
      <c r="B97" s="1" t="s">
        <v>133</v>
      </c>
      <c r="C97" s="1" t="s">
        <v>2</v>
      </c>
      <c r="D97" s="8">
        <v>140000</v>
      </c>
      <c r="E97" s="1" t="s">
        <v>159</v>
      </c>
      <c r="F97" s="1" t="s">
        <v>11</v>
      </c>
      <c r="G97" s="1" t="s">
        <v>11</v>
      </c>
    </row>
    <row r="98" spans="1:7" x14ac:dyDescent="0.3">
      <c r="A98" s="1" t="s">
        <v>160</v>
      </c>
      <c r="B98" s="1" t="s">
        <v>133</v>
      </c>
      <c r="C98" s="1" t="s">
        <v>2</v>
      </c>
      <c r="D98" s="8">
        <v>22500</v>
      </c>
      <c r="E98" s="1" t="s">
        <v>161</v>
      </c>
      <c r="F98" s="1" t="s">
        <v>28</v>
      </c>
      <c r="G98" s="1" t="s">
        <v>11</v>
      </c>
    </row>
    <row r="99" spans="1:7" x14ac:dyDescent="0.3">
      <c r="A99" s="1" t="s">
        <v>162</v>
      </c>
      <c r="B99" s="1" t="s">
        <v>133</v>
      </c>
      <c r="C99" s="1" t="s">
        <v>2</v>
      </c>
      <c r="D99" s="8">
        <v>150000</v>
      </c>
      <c r="E99" s="1" t="s">
        <v>163</v>
      </c>
      <c r="F99" s="1" t="s">
        <v>11</v>
      </c>
      <c r="G99" s="1" t="s">
        <v>11</v>
      </c>
    </row>
    <row r="100" spans="1:7" x14ac:dyDescent="0.3">
      <c r="A100" s="1" t="s">
        <v>164</v>
      </c>
      <c r="B100" s="1" t="s">
        <v>133</v>
      </c>
      <c r="C100" s="1" t="s">
        <v>2</v>
      </c>
      <c r="D100" s="8">
        <v>800000</v>
      </c>
      <c r="E100" s="1" t="s">
        <v>165</v>
      </c>
      <c r="F100" s="1" t="s">
        <v>11</v>
      </c>
      <c r="G100" s="1" t="s">
        <v>11</v>
      </c>
    </row>
    <row r="101" spans="1:7" x14ac:dyDescent="0.3">
      <c r="A101" s="1" t="s">
        <v>166</v>
      </c>
      <c r="B101" s="1" t="s">
        <v>133</v>
      </c>
      <c r="C101" s="1" t="s">
        <v>2</v>
      </c>
      <c r="D101" s="8">
        <v>700000</v>
      </c>
      <c r="E101" s="1" t="s">
        <v>167</v>
      </c>
      <c r="F101" s="1" t="s">
        <v>11</v>
      </c>
      <c r="G101" s="1" t="s">
        <v>11</v>
      </c>
    </row>
    <row r="102" spans="1:7" x14ac:dyDescent="0.3">
      <c r="A102" s="1" t="s">
        <v>168</v>
      </c>
      <c r="B102" s="1" t="s">
        <v>133</v>
      </c>
      <c r="C102" s="1" t="s">
        <v>2</v>
      </c>
      <c r="D102" s="8">
        <v>1100000</v>
      </c>
      <c r="E102" s="1" t="s">
        <v>169</v>
      </c>
      <c r="F102" s="1" t="s">
        <v>11</v>
      </c>
      <c r="G102" s="1" t="s">
        <v>11</v>
      </c>
    </row>
    <row r="103" spans="1:7" x14ac:dyDescent="0.3">
      <c r="A103" s="1" t="s">
        <v>170</v>
      </c>
      <c r="B103" s="1" t="s">
        <v>133</v>
      </c>
      <c r="C103" s="1" t="s">
        <v>2</v>
      </c>
      <c r="D103" s="8">
        <v>1300000</v>
      </c>
      <c r="E103" s="1" t="s">
        <v>171</v>
      </c>
      <c r="F103" s="1" t="s">
        <v>11</v>
      </c>
      <c r="G103" s="1" t="s">
        <v>11</v>
      </c>
    </row>
    <row r="104" spans="1:7" x14ac:dyDescent="0.3">
      <c r="A104" s="1" t="s">
        <v>172</v>
      </c>
      <c r="B104" s="1" t="s">
        <v>133</v>
      </c>
      <c r="C104" s="1" t="s">
        <v>2</v>
      </c>
      <c r="D104" s="8">
        <v>1550000</v>
      </c>
      <c r="E104" s="1" t="s">
        <v>134</v>
      </c>
      <c r="F104" s="1" t="s">
        <v>11</v>
      </c>
      <c r="G104" s="1" t="s">
        <v>11</v>
      </c>
    </row>
    <row r="105" spans="1:7" x14ac:dyDescent="0.3">
      <c r="A105" s="1" t="s">
        <v>173</v>
      </c>
      <c r="B105" s="1" t="s">
        <v>133</v>
      </c>
      <c r="C105" s="1" t="s">
        <v>2</v>
      </c>
      <c r="D105" s="8">
        <v>1370000</v>
      </c>
      <c r="E105" s="1" t="s">
        <v>24</v>
      </c>
      <c r="F105" s="1" t="s">
        <v>11</v>
      </c>
      <c r="G105" s="1" t="s">
        <v>11</v>
      </c>
    </row>
    <row r="106" spans="1:7" x14ac:dyDescent="0.3">
      <c r="A106" s="9" t="s">
        <v>174</v>
      </c>
      <c r="B106" s="1" t="s">
        <v>133</v>
      </c>
      <c r="C106" s="1" t="s">
        <v>2</v>
      </c>
      <c r="D106" s="102">
        <v>2070000</v>
      </c>
      <c r="E106" s="1" t="s">
        <v>175</v>
      </c>
      <c r="F106" s="1" t="s">
        <v>11</v>
      </c>
      <c r="G106" s="1" t="s">
        <v>11</v>
      </c>
    </row>
    <row r="107" spans="1:7" x14ac:dyDescent="0.3">
      <c r="A107" s="1" t="s">
        <v>176</v>
      </c>
      <c r="B107" s="1" t="s">
        <v>133</v>
      </c>
      <c r="C107" s="1" t="s">
        <v>2</v>
      </c>
      <c r="D107" s="8">
        <v>1550000</v>
      </c>
      <c r="E107" s="1" t="s">
        <v>85</v>
      </c>
      <c r="F107" s="1" t="s">
        <v>11</v>
      </c>
      <c r="G107" s="1" t="s">
        <v>11</v>
      </c>
    </row>
    <row r="108" spans="1:7" x14ac:dyDescent="0.3">
      <c r="A108" s="1" t="s">
        <v>177</v>
      </c>
      <c r="B108" s="1" t="s">
        <v>133</v>
      </c>
      <c r="C108" s="1" t="s">
        <v>2</v>
      </c>
      <c r="D108" s="8">
        <v>1400000</v>
      </c>
      <c r="E108" s="1" t="s">
        <v>178</v>
      </c>
      <c r="F108" s="1" t="s">
        <v>11</v>
      </c>
      <c r="G108" s="1" t="s">
        <v>11</v>
      </c>
    </row>
    <row r="109" spans="1:7" x14ac:dyDescent="0.3">
      <c r="A109" s="1" t="s">
        <v>179</v>
      </c>
      <c r="B109" s="1" t="s">
        <v>133</v>
      </c>
      <c r="C109" s="1" t="s">
        <v>2</v>
      </c>
      <c r="D109" s="8">
        <v>900000</v>
      </c>
      <c r="E109" s="1" t="s">
        <v>180</v>
      </c>
      <c r="F109" s="1" t="s">
        <v>11</v>
      </c>
      <c r="G109" s="1" t="s">
        <v>11</v>
      </c>
    </row>
    <row r="110" spans="1:7" x14ac:dyDescent="0.3">
      <c r="A110" s="1" t="s">
        <v>181</v>
      </c>
      <c r="B110" s="1" t="s">
        <v>133</v>
      </c>
      <c r="C110" s="1" t="s">
        <v>2</v>
      </c>
      <c r="D110" s="8">
        <v>1600000</v>
      </c>
      <c r="E110" s="1" t="s">
        <v>182</v>
      </c>
      <c r="F110" s="1" t="s">
        <v>11</v>
      </c>
      <c r="G110" s="1" t="s">
        <v>11</v>
      </c>
    </row>
    <row r="111" spans="1:7" x14ac:dyDescent="0.3">
      <c r="A111" s="1" t="s">
        <v>183</v>
      </c>
      <c r="B111" s="1" t="s">
        <v>133</v>
      </c>
      <c r="C111" s="1" t="s">
        <v>2</v>
      </c>
      <c r="D111" s="8">
        <v>1720000</v>
      </c>
      <c r="E111" s="1" t="s">
        <v>184</v>
      </c>
      <c r="F111" s="1" t="s">
        <v>11</v>
      </c>
      <c r="G111" s="1" t="s">
        <v>11</v>
      </c>
    </row>
    <row r="112" spans="1:7" x14ac:dyDescent="0.3">
      <c r="A112" s="1" t="s">
        <v>185</v>
      </c>
      <c r="B112" s="1" t="s">
        <v>133</v>
      </c>
      <c r="C112" s="1" t="s">
        <v>2</v>
      </c>
      <c r="D112" s="8">
        <v>4445</v>
      </c>
      <c r="E112" s="1" t="s">
        <v>186</v>
      </c>
      <c r="F112" s="1" t="s">
        <v>28</v>
      </c>
      <c r="G112" s="1" t="s">
        <v>11</v>
      </c>
    </row>
    <row r="113" spans="1:7" x14ac:dyDescent="0.3">
      <c r="A113" s="1" t="s">
        <v>187</v>
      </c>
      <c r="B113" s="1" t="s">
        <v>188</v>
      </c>
      <c r="C113" s="1" t="s">
        <v>2</v>
      </c>
      <c r="D113" s="8">
        <v>1750000</v>
      </c>
      <c r="E113" s="1" t="s">
        <v>189</v>
      </c>
      <c r="F113" s="1" t="s">
        <v>11</v>
      </c>
      <c r="G113" s="1" t="s">
        <v>28</v>
      </c>
    </row>
    <row r="114" spans="1:7" x14ac:dyDescent="0.3">
      <c r="A114" s="1" t="s">
        <v>190</v>
      </c>
      <c r="B114" s="1" t="s">
        <v>188</v>
      </c>
      <c r="C114" s="1" t="s">
        <v>2</v>
      </c>
      <c r="D114" s="8">
        <v>1950000</v>
      </c>
      <c r="E114" s="1" t="s">
        <v>191</v>
      </c>
      <c r="F114" s="1" t="s">
        <v>11</v>
      </c>
      <c r="G114" s="1" t="s">
        <v>28</v>
      </c>
    </row>
    <row r="115" spans="1:7" x14ac:dyDescent="0.3">
      <c r="A115" s="1" t="s">
        <v>192</v>
      </c>
      <c r="B115" s="1" t="s">
        <v>188</v>
      </c>
      <c r="C115" s="1" t="s">
        <v>2</v>
      </c>
      <c r="D115" s="8">
        <v>2000000</v>
      </c>
      <c r="E115" s="1" t="s">
        <v>193</v>
      </c>
      <c r="F115" s="1" t="s">
        <v>11</v>
      </c>
      <c r="G115" s="1" t="s">
        <v>28</v>
      </c>
    </row>
    <row r="116" spans="1:7" x14ac:dyDescent="0.3">
      <c r="A116" s="1" t="s">
        <v>194</v>
      </c>
      <c r="B116" s="1" t="s">
        <v>188</v>
      </c>
      <c r="C116" s="1" t="s">
        <v>2</v>
      </c>
      <c r="D116" s="8">
        <v>1994000</v>
      </c>
      <c r="E116" s="1" t="s">
        <v>195</v>
      </c>
      <c r="F116" s="1" t="s">
        <v>11</v>
      </c>
      <c r="G116" s="1" t="s">
        <v>28</v>
      </c>
    </row>
    <row r="117" spans="1:7" x14ac:dyDescent="0.3">
      <c r="A117" s="1" t="s">
        <v>196</v>
      </c>
      <c r="B117" s="1" t="s">
        <v>188</v>
      </c>
      <c r="C117" s="1" t="s">
        <v>2</v>
      </c>
      <c r="D117" s="8">
        <v>3400000</v>
      </c>
      <c r="E117" s="1" t="s">
        <v>197</v>
      </c>
      <c r="F117" s="1" t="s">
        <v>11</v>
      </c>
      <c r="G117" s="1" t="s">
        <v>28</v>
      </c>
    </row>
    <row r="118" spans="1:7" x14ac:dyDescent="0.3">
      <c r="A118" s="1" t="s">
        <v>198</v>
      </c>
      <c r="B118" s="1" t="s">
        <v>199</v>
      </c>
      <c r="C118" s="1" t="s">
        <v>2</v>
      </c>
      <c r="D118" s="8">
        <v>112</v>
      </c>
      <c r="E118" s="1" t="s">
        <v>200</v>
      </c>
      <c r="F118" s="1" t="s">
        <v>28</v>
      </c>
      <c r="G118" s="1" t="s">
        <v>11</v>
      </c>
    </row>
    <row r="119" spans="1:7" x14ac:dyDescent="0.3">
      <c r="A119" s="1" t="s">
        <v>201</v>
      </c>
      <c r="B119" s="1" t="s">
        <v>199</v>
      </c>
      <c r="C119" s="1" t="s">
        <v>2</v>
      </c>
      <c r="D119" s="8">
        <v>5000</v>
      </c>
      <c r="E119" s="1" t="s">
        <v>85</v>
      </c>
      <c r="F119" s="1" t="s">
        <v>28</v>
      </c>
      <c r="G119" s="1" t="s">
        <v>11</v>
      </c>
    </row>
    <row r="120" spans="1:7" x14ac:dyDescent="0.3">
      <c r="A120" s="1" t="s">
        <v>202</v>
      </c>
      <c r="B120" s="1" t="s">
        <v>199</v>
      </c>
      <c r="C120" s="1" t="s">
        <v>2</v>
      </c>
      <c r="D120" s="8">
        <v>3500</v>
      </c>
      <c r="E120" s="1" t="s">
        <v>85</v>
      </c>
      <c r="F120" s="1" t="s">
        <v>28</v>
      </c>
      <c r="G120" s="1" t="s">
        <v>11</v>
      </c>
    </row>
    <row r="121" spans="1:7" x14ac:dyDescent="0.3">
      <c r="A121" s="1" t="s">
        <v>203</v>
      </c>
      <c r="B121" s="1" t="s">
        <v>199</v>
      </c>
      <c r="C121" s="1" t="s">
        <v>2</v>
      </c>
      <c r="D121" s="8">
        <v>3500</v>
      </c>
      <c r="E121" s="1" t="s">
        <v>90</v>
      </c>
      <c r="F121" s="1" t="s">
        <v>28</v>
      </c>
      <c r="G121" s="1" t="s">
        <v>11</v>
      </c>
    </row>
    <row r="122" spans="1:7" x14ac:dyDescent="0.3">
      <c r="A122" s="1" t="s">
        <v>204</v>
      </c>
      <c r="B122" s="1" t="s">
        <v>199</v>
      </c>
      <c r="C122" s="1" t="s">
        <v>2</v>
      </c>
      <c r="D122" s="8">
        <v>9900</v>
      </c>
      <c r="E122" s="1" t="s">
        <v>85</v>
      </c>
      <c r="F122" s="1" t="s">
        <v>28</v>
      </c>
      <c r="G122" s="1" t="s">
        <v>11</v>
      </c>
    </row>
    <row r="123" spans="1:7" x14ac:dyDescent="0.3">
      <c r="A123" s="1" t="s">
        <v>205</v>
      </c>
      <c r="B123" s="1" t="s">
        <v>199</v>
      </c>
      <c r="C123" s="1" t="s">
        <v>2</v>
      </c>
      <c r="D123" s="8">
        <v>13150</v>
      </c>
      <c r="E123" s="1" t="s">
        <v>206</v>
      </c>
      <c r="F123" s="1" t="s">
        <v>28</v>
      </c>
      <c r="G123" s="1" t="s">
        <v>11</v>
      </c>
    </row>
    <row r="124" spans="1:7" x14ac:dyDescent="0.3">
      <c r="A124" s="1" t="s">
        <v>207</v>
      </c>
      <c r="B124" s="1" t="s">
        <v>199</v>
      </c>
      <c r="C124" s="1" t="s">
        <v>2</v>
      </c>
      <c r="D124" s="8">
        <f>27990/1.19</f>
        <v>23521.008403361346</v>
      </c>
      <c r="E124" s="1" t="s">
        <v>208</v>
      </c>
      <c r="F124" s="1" t="s">
        <v>11</v>
      </c>
      <c r="G124" s="1" t="s">
        <v>11</v>
      </c>
    </row>
    <row r="125" spans="1:7" x14ac:dyDescent="0.3">
      <c r="A125" s="1" t="s">
        <v>209</v>
      </c>
      <c r="B125" s="1" t="s">
        <v>199</v>
      </c>
      <c r="C125" s="1" t="s">
        <v>2</v>
      </c>
      <c r="D125" s="8">
        <v>13105</v>
      </c>
      <c r="E125" s="1" t="s">
        <v>210</v>
      </c>
      <c r="F125" s="1" t="s">
        <v>28</v>
      </c>
      <c r="G125" s="1" t="s">
        <v>11</v>
      </c>
    </row>
    <row r="126" spans="1:7" x14ac:dyDescent="0.3">
      <c r="A126" s="1" t="s">
        <v>211</v>
      </c>
      <c r="B126" s="1" t="s">
        <v>199</v>
      </c>
      <c r="C126" s="1" t="s">
        <v>2</v>
      </c>
      <c r="D126" s="8">
        <v>17500</v>
      </c>
      <c r="E126" s="1" t="s">
        <v>212</v>
      </c>
      <c r="F126" s="1" t="s">
        <v>28</v>
      </c>
      <c r="G126" s="1" t="s">
        <v>11</v>
      </c>
    </row>
    <row r="127" spans="1:7" x14ac:dyDescent="0.3">
      <c r="A127" s="1" t="s">
        <v>213</v>
      </c>
      <c r="B127" s="1" t="s">
        <v>199</v>
      </c>
      <c r="C127" s="1" t="s">
        <v>2</v>
      </c>
      <c r="D127" s="8">
        <f>2690/1.19</f>
        <v>2260.5042016806724</v>
      </c>
      <c r="E127" s="1" t="s">
        <v>214</v>
      </c>
      <c r="F127" s="1" t="s">
        <v>28</v>
      </c>
      <c r="G127" s="1" t="s">
        <v>11</v>
      </c>
    </row>
    <row r="128" spans="1:7" x14ac:dyDescent="0.3">
      <c r="A128" s="1" t="s">
        <v>215</v>
      </c>
      <c r="B128" s="1" t="s">
        <v>199</v>
      </c>
      <c r="C128" s="1" t="s">
        <v>2</v>
      </c>
      <c r="D128" s="8">
        <v>800</v>
      </c>
      <c r="E128" s="1" t="s">
        <v>85</v>
      </c>
      <c r="F128" s="1" t="s">
        <v>28</v>
      </c>
      <c r="G128" s="1" t="s">
        <v>11</v>
      </c>
    </row>
    <row r="129" spans="1:7" x14ac:dyDescent="0.3">
      <c r="A129" s="1" t="s">
        <v>216</v>
      </c>
      <c r="B129" s="1" t="s">
        <v>199</v>
      </c>
      <c r="C129" s="1" t="s">
        <v>2</v>
      </c>
      <c r="D129" s="8">
        <v>1500</v>
      </c>
      <c r="E129" s="1" t="s">
        <v>217</v>
      </c>
      <c r="F129" s="1" t="s">
        <v>11</v>
      </c>
      <c r="G129" s="1" t="s">
        <v>11</v>
      </c>
    </row>
    <row r="130" spans="1:7" x14ac:dyDescent="0.3">
      <c r="A130" s="1" t="s">
        <v>218</v>
      </c>
      <c r="B130" s="1" t="s">
        <v>199</v>
      </c>
      <c r="C130" s="1" t="s">
        <v>2</v>
      </c>
      <c r="D130" s="8">
        <v>1200</v>
      </c>
      <c r="E130" s="1" t="s">
        <v>85</v>
      </c>
      <c r="F130" s="1" t="s">
        <v>28</v>
      </c>
      <c r="G130" s="1" t="s">
        <v>11</v>
      </c>
    </row>
    <row r="131" spans="1:7" x14ac:dyDescent="0.3">
      <c r="A131" s="1" t="s">
        <v>219</v>
      </c>
      <c r="B131" s="1" t="s">
        <v>199</v>
      </c>
      <c r="C131" s="1" t="s">
        <v>220</v>
      </c>
      <c r="D131" s="8">
        <v>5600</v>
      </c>
      <c r="E131" s="1" t="s">
        <v>85</v>
      </c>
      <c r="F131" s="1" t="s">
        <v>28</v>
      </c>
      <c r="G131" s="1" t="s">
        <v>11</v>
      </c>
    </row>
    <row r="132" spans="1:7" x14ac:dyDescent="0.3">
      <c r="A132" s="1" t="s">
        <v>221</v>
      </c>
      <c r="B132" s="1" t="s">
        <v>199</v>
      </c>
      <c r="C132" s="1" t="s">
        <v>220</v>
      </c>
      <c r="D132" s="8">
        <v>5600</v>
      </c>
      <c r="E132" s="1" t="s">
        <v>85</v>
      </c>
      <c r="F132" s="1" t="s">
        <v>28</v>
      </c>
      <c r="G132" s="1" t="s">
        <v>11</v>
      </c>
    </row>
    <row r="133" spans="1:7" x14ac:dyDescent="0.3">
      <c r="A133" s="1" t="s">
        <v>222</v>
      </c>
      <c r="B133" s="1" t="s">
        <v>199</v>
      </c>
      <c r="C133" s="1" t="s">
        <v>220</v>
      </c>
      <c r="D133" s="8">
        <v>370</v>
      </c>
      <c r="E133" s="1" t="s">
        <v>85</v>
      </c>
      <c r="F133" s="1" t="s">
        <v>28</v>
      </c>
      <c r="G133" s="1" t="s">
        <v>11</v>
      </c>
    </row>
    <row r="134" spans="1:7" x14ac:dyDescent="0.3">
      <c r="A134" s="1" t="s">
        <v>223</v>
      </c>
      <c r="B134" s="1" t="s">
        <v>199</v>
      </c>
      <c r="C134" s="1" t="s">
        <v>2</v>
      </c>
      <c r="D134" s="8">
        <v>2000</v>
      </c>
      <c r="E134" s="1" t="s">
        <v>85</v>
      </c>
      <c r="F134" s="1" t="s">
        <v>28</v>
      </c>
      <c r="G134" s="1" t="s">
        <v>11</v>
      </c>
    </row>
    <row r="135" spans="1:7" x14ac:dyDescent="0.3">
      <c r="A135" s="1" t="s">
        <v>224</v>
      </c>
      <c r="B135" s="1" t="s">
        <v>199</v>
      </c>
      <c r="C135" s="1" t="s">
        <v>2</v>
      </c>
      <c r="D135" s="8">
        <v>2460</v>
      </c>
      <c r="E135" s="1" t="s">
        <v>225</v>
      </c>
      <c r="F135" s="1" t="s">
        <v>28</v>
      </c>
      <c r="G135" s="1" t="s">
        <v>11</v>
      </c>
    </row>
    <row r="136" spans="1:7" x14ac:dyDescent="0.3">
      <c r="A136" s="1" t="s">
        <v>226</v>
      </c>
      <c r="B136" s="1" t="s">
        <v>199</v>
      </c>
      <c r="C136" s="1" t="s">
        <v>2</v>
      </c>
      <c r="D136" s="8">
        <v>3000</v>
      </c>
      <c r="E136" s="1" t="s">
        <v>85</v>
      </c>
      <c r="F136" s="1" t="s">
        <v>28</v>
      </c>
      <c r="G136" s="1" t="s">
        <v>11</v>
      </c>
    </row>
    <row r="137" spans="1:7" x14ac:dyDescent="0.3">
      <c r="A137" s="1" t="s">
        <v>227</v>
      </c>
      <c r="B137" s="1" t="s">
        <v>199</v>
      </c>
      <c r="C137" s="1" t="s">
        <v>2</v>
      </c>
      <c r="D137" s="8">
        <v>11000</v>
      </c>
      <c r="E137" s="1" t="s">
        <v>85</v>
      </c>
      <c r="F137" s="1" t="s">
        <v>28</v>
      </c>
      <c r="G137" s="1" t="s">
        <v>11</v>
      </c>
    </row>
    <row r="138" spans="1:7" x14ac:dyDescent="0.3">
      <c r="A138" s="1" t="s">
        <v>228</v>
      </c>
      <c r="B138" s="1" t="s">
        <v>199</v>
      </c>
      <c r="C138" s="1" t="s">
        <v>220</v>
      </c>
      <c r="D138" s="8">
        <v>1300</v>
      </c>
      <c r="E138" s="1" t="s">
        <v>85</v>
      </c>
      <c r="F138" s="1" t="s">
        <v>28</v>
      </c>
      <c r="G138" s="1" t="s">
        <v>11</v>
      </c>
    </row>
    <row r="139" spans="1:7" x14ac:dyDescent="0.3">
      <c r="A139" s="1" t="s">
        <v>229</v>
      </c>
      <c r="B139" s="1" t="s">
        <v>199</v>
      </c>
      <c r="C139" s="1" t="s">
        <v>220</v>
      </c>
      <c r="D139" s="8">
        <v>1300</v>
      </c>
      <c r="E139" s="1" t="s">
        <v>85</v>
      </c>
      <c r="F139" s="1" t="s">
        <v>28</v>
      </c>
      <c r="G139" s="1" t="s">
        <v>11</v>
      </c>
    </row>
    <row r="140" spans="1:7" x14ac:dyDescent="0.3">
      <c r="A140" s="1" t="s">
        <v>230</v>
      </c>
      <c r="B140" s="1" t="s">
        <v>199</v>
      </c>
      <c r="C140" s="1" t="s">
        <v>2</v>
      </c>
      <c r="D140" s="8">
        <v>5000</v>
      </c>
      <c r="E140" s="1" t="s">
        <v>85</v>
      </c>
      <c r="F140" s="1" t="s">
        <v>28</v>
      </c>
      <c r="G140" s="1" t="s">
        <v>11</v>
      </c>
    </row>
    <row r="141" spans="1:7" x14ac:dyDescent="0.3">
      <c r="A141" s="1" t="s">
        <v>231</v>
      </c>
      <c r="B141" s="1" t="s">
        <v>199</v>
      </c>
      <c r="C141" s="1" t="s">
        <v>2</v>
      </c>
      <c r="D141" s="8">
        <v>6000</v>
      </c>
      <c r="E141" s="1" t="s">
        <v>85</v>
      </c>
      <c r="F141" s="1" t="s">
        <v>28</v>
      </c>
      <c r="G141" s="1" t="s">
        <v>11</v>
      </c>
    </row>
    <row r="142" spans="1:7" x14ac:dyDescent="0.3">
      <c r="A142" s="1" t="s">
        <v>232</v>
      </c>
      <c r="B142" s="1" t="s">
        <v>199</v>
      </c>
      <c r="C142" s="1" t="s">
        <v>2</v>
      </c>
      <c r="D142" s="8">
        <f>3790/1.19</f>
        <v>3184.8739495798322</v>
      </c>
      <c r="E142" s="1" t="s">
        <v>233</v>
      </c>
      <c r="F142" s="1" t="s">
        <v>11</v>
      </c>
      <c r="G142" s="1" t="s">
        <v>11</v>
      </c>
    </row>
    <row r="143" spans="1:7" x14ac:dyDescent="0.3">
      <c r="A143" s="1" t="s">
        <v>234</v>
      </c>
      <c r="B143" s="1" t="s">
        <v>199</v>
      </c>
      <c r="C143" s="1" t="s">
        <v>2</v>
      </c>
      <c r="D143" s="8">
        <v>2000</v>
      </c>
      <c r="E143" s="1" t="s">
        <v>85</v>
      </c>
      <c r="F143" s="1" t="s">
        <v>28</v>
      </c>
      <c r="G143" s="1" t="s">
        <v>11</v>
      </c>
    </row>
    <row r="144" spans="1:7" x14ac:dyDescent="0.3">
      <c r="A144" s="1" t="s">
        <v>235</v>
      </c>
      <c r="B144" s="1" t="s">
        <v>199</v>
      </c>
      <c r="C144" s="1" t="s">
        <v>2</v>
      </c>
      <c r="D144" s="8">
        <v>4200</v>
      </c>
      <c r="E144" s="1" t="s">
        <v>85</v>
      </c>
      <c r="F144" s="1" t="s">
        <v>28</v>
      </c>
      <c r="G144" s="1" t="s">
        <v>11</v>
      </c>
    </row>
    <row r="145" spans="1:7" x14ac:dyDescent="0.3">
      <c r="A145" s="1" t="s">
        <v>236</v>
      </c>
      <c r="B145" s="1" t="s">
        <v>199</v>
      </c>
      <c r="C145" s="1" t="s">
        <v>2</v>
      </c>
      <c r="D145" s="8">
        <v>10084</v>
      </c>
      <c r="E145" s="1" t="s">
        <v>85</v>
      </c>
      <c r="F145" s="1" t="s">
        <v>28</v>
      </c>
      <c r="G145" s="1" t="s">
        <v>11</v>
      </c>
    </row>
    <row r="146" spans="1:7" x14ac:dyDescent="0.3">
      <c r="A146" s="1" t="s">
        <v>237</v>
      </c>
      <c r="B146" s="1" t="s">
        <v>199</v>
      </c>
      <c r="C146" s="1" t="s">
        <v>2</v>
      </c>
      <c r="D146" s="8">
        <v>12000</v>
      </c>
      <c r="E146" s="1" t="s">
        <v>238</v>
      </c>
      <c r="F146" s="1" t="s">
        <v>28</v>
      </c>
      <c r="G146" s="1" t="s">
        <v>11</v>
      </c>
    </row>
    <row r="147" spans="1:7" x14ac:dyDescent="0.3">
      <c r="A147" s="1" t="s">
        <v>239</v>
      </c>
      <c r="B147" s="1" t="s">
        <v>199</v>
      </c>
      <c r="C147" s="1" t="s">
        <v>2</v>
      </c>
      <c r="D147" s="8">
        <v>13500</v>
      </c>
      <c r="E147" s="1" t="s">
        <v>85</v>
      </c>
      <c r="F147" s="1" t="s">
        <v>28</v>
      </c>
      <c r="G147" s="1" t="s">
        <v>11</v>
      </c>
    </row>
    <row r="148" spans="1:7" x14ac:dyDescent="0.3">
      <c r="A148" s="1" t="s">
        <v>240</v>
      </c>
      <c r="B148" s="1" t="s">
        <v>199</v>
      </c>
      <c r="C148" s="1" t="s">
        <v>2</v>
      </c>
      <c r="D148" s="8">
        <v>18990</v>
      </c>
      <c r="E148" s="1" t="s">
        <v>238</v>
      </c>
      <c r="F148" s="1" t="s">
        <v>28</v>
      </c>
      <c r="G148" s="1" t="s">
        <v>11</v>
      </c>
    </row>
    <row r="149" spans="1:7" x14ac:dyDescent="0.3">
      <c r="A149" s="1" t="s">
        <v>241</v>
      </c>
      <c r="B149" s="1" t="s">
        <v>199</v>
      </c>
      <c r="C149" s="1" t="s">
        <v>2</v>
      </c>
      <c r="D149" s="8">
        <v>2000</v>
      </c>
      <c r="E149" s="1" t="s">
        <v>85</v>
      </c>
      <c r="F149" s="1" t="s">
        <v>28</v>
      </c>
      <c r="G149" s="1" t="s">
        <v>11</v>
      </c>
    </row>
    <row r="150" spans="1:7" x14ac:dyDescent="0.3">
      <c r="A150" s="1" t="s">
        <v>242</v>
      </c>
      <c r="B150" s="1" t="s">
        <v>199</v>
      </c>
      <c r="C150" s="1" t="s">
        <v>2</v>
      </c>
      <c r="D150" s="8">
        <v>6000</v>
      </c>
      <c r="E150" s="1" t="s">
        <v>85</v>
      </c>
      <c r="F150" s="1" t="s">
        <v>28</v>
      </c>
      <c r="G150" s="1" t="s">
        <v>11</v>
      </c>
    </row>
    <row r="151" spans="1:7" x14ac:dyDescent="0.3">
      <c r="A151" s="1" t="s">
        <v>243</v>
      </c>
      <c r="B151" s="1" t="s">
        <v>199</v>
      </c>
      <c r="C151" s="1" t="s">
        <v>2</v>
      </c>
      <c r="D151" s="8">
        <f>1904/1.19</f>
        <v>1600</v>
      </c>
      <c r="E151" s="1" t="s">
        <v>244</v>
      </c>
      <c r="F151" s="1" t="s">
        <v>28</v>
      </c>
      <c r="G151" s="1" t="s">
        <v>11</v>
      </c>
    </row>
    <row r="152" spans="1:7" x14ac:dyDescent="0.3">
      <c r="A152" s="1" t="s">
        <v>245</v>
      </c>
      <c r="B152" s="1" t="s">
        <v>199</v>
      </c>
      <c r="C152" s="1" t="s">
        <v>2</v>
      </c>
      <c r="D152" s="8">
        <v>680</v>
      </c>
      <c r="E152" s="1" t="s">
        <v>85</v>
      </c>
      <c r="F152" s="1" t="s">
        <v>28</v>
      </c>
      <c r="G152" s="1" t="s">
        <v>11</v>
      </c>
    </row>
    <row r="153" spans="1:7" x14ac:dyDescent="0.3">
      <c r="A153" s="9" t="s">
        <v>246</v>
      </c>
      <c r="B153" s="1" t="s">
        <v>199</v>
      </c>
      <c r="C153" s="1" t="s">
        <v>2</v>
      </c>
      <c r="D153" s="8">
        <v>2990</v>
      </c>
      <c r="E153" s="1" t="s">
        <v>247</v>
      </c>
      <c r="F153" s="1" t="s">
        <v>28</v>
      </c>
      <c r="G153" s="1" t="s">
        <v>11</v>
      </c>
    </row>
    <row r="154" spans="1:7" x14ac:dyDescent="0.3">
      <c r="A154" s="1" t="s">
        <v>248</v>
      </c>
      <c r="B154" s="1" t="s">
        <v>249</v>
      </c>
      <c r="C154" s="1" t="s">
        <v>2</v>
      </c>
      <c r="D154" s="102">
        <v>3900</v>
      </c>
      <c r="E154" s="1" t="s">
        <v>112</v>
      </c>
      <c r="F154" s="1" t="s">
        <v>11</v>
      </c>
      <c r="G154" s="1" t="s">
        <v>11</v>
      </c>
    </row>
    <row r="155" spans="1:7" x14ac:dyDescent="0.3">
      <c r="A155" s="1" t="s">
        <v>250</v>
      </c>
      <c r="B155" s="1" t="s">
        <v>249</v>
      </c>
      <c r="C155" s="1" t="s">
        <v>2</v>
      </c>
      <c r="D155" s="8">
        <v>50600</v>
      </c>
      <c r="E155" s="1" t="s">
        <v>117</v>
      </c>
      <c r="F155" s="1" t="s">
        <v>11</v>
      </c>
      <c r="G155" s="1" t="s">
        <v>11</v>
      </c>
    </row>
    <row r="156" spans="1:7" x14ac:dyDescent="0.3">
      <c r="A156" s="1" t="s">
        <v>251</v>
      </c>
      <c r="B156" s="1" t="s">
        <v>249</v>
      </c>
      <c r="C156" s="1" t="s">
        <v>2</v>
      </c>
      <c r="D156" s="8">
        <v>16500</v>
      </c>
      <c r="E156" s="1" t="s">
        <v>117</v>
      </c>
      <c r="F156" s="1" t="s">
        <v>11</v>
      </c>
      <c r="G156" s="1" t="s">
        <v>11</v>
      </c>
    </row>
    <row r="157" spans="1:7" x14ac:dyDescent="0.3">
      <c r="A157" s="11" t="s">
        <v>252</v>
      </c>
      <c r="B157" s="1" t="s">
        <v>249</v>
      </c>
      <c r="C157" s="1" t="s">
        <v>2</v>
      </c>
      <c r="D157" s="8">
        <v>13000</v>
      </c>
      <c r="E157" s="1" t="s">
        <v>253</v>
      </c>
      <c r="F157" s="1" t="s">
        <v>11</v>
      </c>
      <c r="G157" s="1" t="s">
        <v>11</v>
      </c>
    </row>
    <row r="158" spans="1:7" x14ac:dyDescent="0.3">
      <c r="A158" s="1" t="s">
        <v>254</v>
      </c>
      <c r="B158" s="1" t="s">
        <v>249</v>
      </c>
      <c r="C158" s="1" t="s">
        <v>2</v>
      </c>
      <c r="D158" s="8">
        <v>8500</v>
      </c>
      <c r="E158" s="1" t="s">
        <v>253</v>
      </c>
      <c r="F158" s="1" t="s">
        <v>11</v>
      </c>
      <c r="G158" s="1" t="s">
        <v>11</v>
      </c>
    </row>
    <row r="159" spans="1:7" x14ac:dyDescent="0.3">
      <c r="A159" s="1" t="s">
        <v>255</v>
      </c>
      <c r="B159" s="1" t="s">
        <v>249</v>
      </c>
      <c r="C159" s="1" t="s">
        <v>2</v>
      </c>
      <c r="D159" s="8">
        <v>26000</v>
      </c>
      <c r="E159" s="1" t="s">
        <v>85</v>
      </c>
      <c r="F159" s="1" t="s">
        <v>11</v>
      </c>
      <c r="G159" s="1" t="s">
        <v>11</v>
      </c>
    </row>
    <row r="160" spans="1:7" x14ac:dyDescent="0.3">
      <c r="A160" s="1" t="s">
        <v>256</v>
      </c>
      <c r="B160" s="1" t="s">
        <v>249</v>
      </c>
      <c r="C160" s="1" t="s">
        <v>2</v>
      </c>
      <c r="D160" s="8">
        <v>20160</v>
      </c>
      <c r="E160" s="1" t="s">
        <v>24</v>
      </c>
      <c r="F160" s="1" t="s">
        <v>11</v>
      </c>
      <c r="G160" s="1" t="s">
        <v>11</v>
      </c>
    </row>
    <row r="161" spans="1:7" x14ac:dyDescent="0.3">
      <c r="A161" s="9" t="s">
        <v>257</v>
      </c>
      <c r="B161" s="1" t="s">
        <v>258</v>
      </c>
      <c r="C161" s="1" t="s">
        <v>2</v>
      </c>
      <c r="D161" s="8">
        <v>16000</v>
      </c>
      <c r="E161" s="1" t="s">
        <v>259</v>
      </c>
      <c r="F161" s="1" t="s">
        <v>11</v>
      </c>
      <c r="G161" s="1" t="s">
        <v>11</v>
      </c>
    </row>
    <row r="162" spans="1:7" x14ac:dyDescent="0.3">
      <c r="A162" s="1" t="s">
        <v>260</v>
      </c>
      <c r="B162" s="1" t="s">
        <v>258</v>
      </c>
      <c r="C162" s="1" t="s">
        <v>2</v>
      </c>
      <c r="D162" s="8">
        <v>15500</v>
      </c>
      <c r="E162" s="1" t="s">
        <v>261</v>
      </c>
      <c r="F162" s="1" t="s">
        <v>11</v>
      </c>
      <c r="G162" s="1" t="s">
        <v>11</v>
      </c>
    </row>
    <row r="163" spans="1:7" x14ac:dyDescent="0.3">
      <c r="A163" s="1" t="s">
        <v>262</v>
      </c>
      <c r="B163" s="1" t="s">
        <v>258</v>
      </c>
      <c r="C163" s="1" t="s">
        <v>2</v>
      </c>
      <c r="D163" s="8">
        <v>1017224</v>
      </c>
      <c r="E163" s="1" t="s">
        <v>263</v>
      </c>
      <c r="F163" s="1" t="s">
        <v>11</v>
      </c>
      <c r="G163" s="1" t="s">
        <v>11</v>
      </c>
    </row>
    <row r="164" spans="1:7" x14ac:dyDescent="0.3">
      <c r="A164" s="1" t="s">
        <v>264</v>
      </c>
      <c r="B164" s="1" t="s">
        <v>258</v>
      </c>
      <c r="C164" s="1" t="s">
        <v>2</v>
      </c>
      <c r="D164" s="8">
        <v>180973</v>
      </c>
      <c r="E164" s="1" t="s">
        <v>265</v>
      </c>
      <c r="F164" s="1" t="s">
        <v>11</v>
      </c>
      <c r="G164" s="1" t="s">
        <v>11</v>
      </c>
    </row>
    <row r="165" spans="1:7" x14ac:dyDescent="0.3">
      <c r="A165" s="1" t="s">
        <v>266</v>
      </c>
      <c r="B165" s="1" t="s">
        <v>258</v>
      </c>
      <c r="C165" s="1" t="s">
        <v>2</v>
      </c>
      <c r="D165" s="8">
        <v>155000</v>
      </c>
      <c r="E165" s="1" t="s">
        <v>267</v>
      </c>
      <c r="F165" s="1" t="s">
        <v>11</v>
      </c>
      <c r="G165" s="1" t="s">
        <v>11</v>
      </c>
    </row>
    <row r="166" spans="1:7" x14ac:dyDescent="0.3">
      <c r="A166" s="1" t="s">
        <v>268</v>
      </c>
      <c r="B166" s="1" t="s">
        <v>258</v>
      </c>
      <c r="C166" s="1" t="s">
        <v>2</v>
      </c>
      <c r="D166" s="8">
        <v>20160</v>
      </c>
      <c r="E166" s="1" t="s">
        <v>269</v>
      </c>
      <c r="F166" s="1" t="s">
        <v>11</v>
      </c>
      <c r="G166" s="1" t="s">
        <v>11</v>
      </c>
    </row>
    <row r="167" spans="1:7" x14ac:dyDescent="0.3">
      <c r="A167" s="1" t="s">
        <v>270</v>
      </c>
      <c r="B167" s="1" t="s">
        <v>271</v>
      </c>
      <c r="C167" s="1" t="s">
        <v>2</v>
      </c>
      <c r="D167" s="8">
        <v>37800</v>
      </c>
      <c r="E167" s="1" t="s">
        <v>85</v>
      </c>
      <c r="F167" s="1" t="s">
        <v>11</v>
      </c>
      <c r="G167" s="1" t="s">
        <v>11</v>
      </c>
    </row>
    <row r="168" spans="1:7" x14ac:dyDescent="0.3">
      <c r="A168" s="1" t="s">
        <v>272</v>
      </c>
      <c r="B168" s="1" t="s">
        <v>271</v>
      </c>
      <c r="C168" s="1" t="s">
        <v>2</v>
      </c>
      <c r="D168" s="8">
        <v>15000</v>
      </c>
      <c r="E168" s="1" t="s">
        <v>85</v>
      </c>
      <c r="F168" s="1" t="s">
        <v>11</v>
      </c>
      <c r="G168" s="1" t="s">
        <v>11</v>
      </c>
    </row>
    <row r="169" spans="1:7" x14ac:dyDescent="0.3">
      <c r="A169" s="1" t="s">
        <v>273</v>
      </c>
      <c r="B169" s="1" t="s">
        <v>271</v>
      </c>
      <c r="C169" s="1" t="s">
        <v>2</v>
      </c>
      <c r="D169" s="8">
        <v>16000</v>
      </c>
      <c r="E169" s="1" t="s">
        <v>85</v>
      </c>
      <c r="F169" s="1" t="s">
        <v>11</v>
      </c>
      <c r="G169" s="1" t="s">
        <v>11</v>
      </c>
    </row>
    <row r="170" spans="1:7" x14ac:dyDescent="0.3">
      <c r="A170" s="1" t="s">
        <v>274</v>
      </c>
      <c r="B170" s="1" t="s">
        <v>275</v>
      </c>
      <c r="C170" s="1" t="s">
        <v>2</v>
      </c>
      <c r="D170" s="8">
        <v>5500</v>
      </c>
      <c r="E170" s="1" t="s">
        <v>276</v>
      </c>
      <c r="F170" s="1" t="s">
        <v>11</v>
      </c>
      <c r="G170" s="1" t="s">
        <v>11</v>
      </c>
    </row>
    <row r="171" spans="1:7" x14ac:dyDescent="0.3">
      <c r="A171" s="1" t="s">
        <v>277</v>
      </c>
      <c r="B171" s="1" t="s">
        <v>275</v>
      </c>
      <c r="C171" s="1" t="s">
        <v>2</v>
      </c>
      <c r="D171" s="8">
        <f>14990/1.19</f>
        <v>12596.638655462186</v>
      </c>
      <c r="E171" s="1" t="s">
        <v>278</v>
      </c>
      <c r="F171" s="1" t="s">
        <v>11</v>
      </c>
      <c r="G171" s="1" t="s">
        <v>11</v>
      </c>
    </row>
    <row r="172" spans="1:7" x14ac:dyDescent="0.3">
      <c r="A172" s="1" t="s">
        <v>279</v>
      </c>
      <c r="B172" s="1" t="s">
        <v>275</v>
      </c>
      <c r="C172" s="1" t="s">
        <v>2</v>
      </c>
      <c r="D172" s="8">
        <f>10990/1.19</f>
        <v>9235.2941176470595</v>
      </c>
      <c r="E172" s="1" t="s">
        <v>280</v>
      </c>
      <c r="F172" s="1" t="s">
        <v>11</v>
      </c>
      <c r="G172" s="1" t="s">
        <v>11</v>
      </c>
    </row>
    <row r="173" spans="1:7" x14ac:dyDescent="0.3">
      <c r="A173" s="1" t="s">
        <v>281</v>
      </c>
      <c r="B173" s="1" t="s">
        <v>275</v>
      </c>
      <c r="C173" s="1" t="s">
        <v>2</v>
      </c>
      <c r="D173" s="8">
        <v>5000</v>
      </c>
      <c r="E173" s="1" t="s">
        <v>282</v>
      </c>
      <c r="F173" s="1" t="s">
        <v>11</v>
      </c>
      <c r="G173" s="1" t="s">
        <v>11</v>
      </c>
    </row>
    <row r="174" spans="1:7" x14ac:dyDescent="0.3">
      <c r="A174" s="1" t="s">
        <v>283</v>
      </c>
      <c r="B174" s="1" t="s">
        <v>275</v>
      </c>
      <c r="C174" s="1" t="s">
        <v>2</v>
      </c>
      <c r="D174" s="8">
        <v>5000</v>
      </c>
      <c r="E174" s="1" t="s">
        <v>85</v>
      </c>
      <c r="F174" s="1" t="s">
        <v>11</v>
      </c>
      <c r="G174" s="1" t="s">
        <v>11</v>
      </c>
    </row>
    <row r="175" spans="1:7" x14ac:dyDescent="0.3">
      <c r="A175" s="1" t="s">
        <v>284</v>
      </c>
      <c r="B175" s="1" t="s">
        <v>275</v>
      </c>
      <c r="C175" s="1" t="s">
        <v>2</v>
      </c>
      <c r="D175" s="8">
        <v>5000</v>
      </c>
      <c r="E175" s="1" t="s">
        <v>285</v>
      </c>
      <c r="F175" s="1" t="s">
        <v>11</v>
      </c>
      <c r="G175" s="1" t="s">
        <v>11</v>
      </c>
    </row>
    <row r="176" spans="1:7" x14ac:dyDescent="0.3">
      <c r="A176" s="1" t="s">
        <v>286</v>
      </c>
      <c r="B176" s="1" t="s">
        <v>275</v>
      </c>
      <c r="C176" s="1" t="s">
        <v>2</v>
      </c>
      <c r="D176" s="8">
        <v>3790</v>
      </c>
      <c r="E176" s="1" t="s">
        <v>287</v>
      </c>
      <c r="F176" s="1" t="s">
        <v>11</v>
      </c>
      <c r="G176" s="1" t="s">
        <v>11</v>
      </c>
    </row>
    <row r="177" spans="1:8" x14ac:dyDescent="0.3">
      <c r="A177" s="1" t="s">
        <v>288</v>
      </c>
      <c r="B177" s="1" t="s">
        <v>275</v>
      </c>
      <c r="C177" s="1" t="s">
        <v>2</v>
      </c>
      <c r="D177" s="8">
        <f>11990/1.19</f>
        <v>10075.63025210084</v>
      </c>
      <c r="E177" s="1" t="s">
        <v>131</v>
      </c>
      <c r="F177" s="1" t="s">
        <v>11</v>
      </c>
      <c r="G177" s="1" t="s">
        <v>11</v>
      </c>
    </row>
    <row r="178" spans="1:8" x14ac:dyDescent="0.3">
      <c r="A178" s="1" t="s">
        <v>289</v>
      </c>
      <c r="B178" s="1" t="s">
        <v>275</v>
      </c>
      <c r="C178" s="1" t="s">
        <v>2</v>
      </c>
      <c r="D178" s="8">
        <v>3500</v>
      </c>
      <c r="E178" s="1" t="s">
        <v>85</v>
      </c>
      <c r="F178" s="1" t="s">
        <v>28</v>
      </c>
      <c r="G178" s="1" t="s">
        <v>11</v>
      </c>
    </row>
    <row r="179" spans="1:8" x14ac:dyDescent="0.3">
      <c r="A179" s="1" t="s">
        <v>290</v>
      </c>
      <c r="B179" s="1" t="s">
        <v>291</v>
      </c>
      <c r="C179" s="1" t="s">
        <v>2</v>
      </c>
      <c r="D179" s="8">
        <v>280000</v>
      </c>
      <c r="E179" s="1" t="s">
        <v>292</v>
      </c>
      <c r="F179" s="1" t="s">
        <v>11</v>
      </c>
      <c r="G179" s="1" t="s">
        <v>11</v>
      </c>
    </row>
    <row r="180" spans="1:8" x14ac:dyDescent="0.3">
      <c r="A180" s="1" t="s">
        <v>293</v>
      </c>
      <c r="B180" s="1" t="s">
        <v>294</v>
      </c>
      <c r="C180" s="1" t="s">
        <v>2</v>
      </c>
      <c r="D180" s="8">
        <v>1500000</v>
      </c>
      <c r="E180" s="1" t="s">
        <v>295</v>
      </c>
      <c r="F180" s="1" t="s">
        <v>11</v>
      </c>
      <c r="G180" s="1" t="s">
        <v>11</v>
      </c>
    </row>
    <row r="181" spans="1:8" x14ac:dyDescent="0.3">
      <c r="A181" s="1" t="s">
        <v>296</v>
      </c>
      <c r="B181" s="1" t="s">
        <v>297</v>
      </c>
      <c r="C181" s="1" t="s">
        <v>298</v>
      </c>
      <c r="D181" s="8">
        <v>25000</v>
      </c>
      <c r="E181" s="1" t="s">
        <v>85</v>
      </c>
      <c r="F181" s="1" t="s">
        <v>28</v>
      </c>
      <c r="G181" s="1" t="s">
        <v>11</v>
      </c>
    </row>
    <row r="182" spans="1:8" x14ac:dyDescent="0.3">
      <c r="A182" s="1" t="s">
        <v>299</v>
      </c>
      <c r="B182" s="1" t="s">
        <v>297</v>
      </c>
      <c r="C182" s="1" t="s">
        <v>300</v>
      </c>
      <c r="D182" s="8">
        <v>9000</v>
      </c>
      <c r="E182" s="1" t="s">
        <v>85</v>
      </c>
      <c r="F182" s="1" t="s">
        <v>28</v>
      </c>
      <c r="G182" s="1" t="s">
        <v>11</v>
      </c>
    </row>
    <row r="183" spans="1:8" x14ac:dyDescent="0.3">
      <c r="A183" s="1" t="s">
        <v>301</v>
      </c>
      <c r="B183" s="1" t="s">
        <v>297</v>
      </c>
      <c r="C183" s="1" t="s">
        <v>2</v>
      </c>
      <c r="D183" s="8">
        <v>3100</v>
      </c>
      <c r="E183" s="1" t="s">
        <v>85</v>
      </c>
      <c r="F183" s="1" t="s">
        <v>28</v>
      </c>
      <c r="G183" s="1" t="s">
        <v>11</v>
      </c>
    </row>
    <row r="184" spans="1:8" x14ac:dyDescent="0.3">
      <c r="A184" s="1" t="s">
        <v>302</v>
      </c>
      <c r="B184" s="1" t="s">
        <v>297</v>
      </c>
      <c r="C184" s="1" t="s">
        <v>298</v>
      </c>
      <c r="D184" s="8">
        <v>17700</v>
      </c>
      <c r="E184" s="1" t="s">
        <v>303</v>
      </c>
      <c r="F184" s="1" t="s">
        <v>11</v>
      </c>
      <c r="G184" s="1" t="s">
        <v>11</v>
      </c>
    </row>
    <row r="185" spans="1:8" x14ac:dyDescent="0.3">
      <c r="A185" s="9" t="s">
        <v>304</v>
      </c>
      <c r="B185" s="1" t="s">
        <v>297</v>
      </c>
      <c r="C185" s="1" t="s">
        <v>305</v>
      </c>
      <c r="D185" s="8">
        <v>54000</v>
      </c>
      <c r="E185" s="1" t="s">
        <v>85</v>
      </c>
      <c r="F185" s="1" t="s">
        <v>11</v>
      </c>
      <c r="G185" s="1" t="s">
        <v>11</v>
      </c>
    </row>
    <row r="186" spans="1:8" x14ac:dyDescent="0.3">
      <c r="A186" s="176" t="s">
        <v>306</v>
      </c>
      <c r="B186" s="10" t="s">
        <v>297</v>
      </c>
      <c r="C186" s="1" t="s">
        <v>307</v>
      </c>
      <c r="D186" s="8">
        <f>D185/2</f>
        <v>27000</v>
      </c>
      <c r="E186" s="1" t="s">
        <v>308</v>
      </c>
      <c r="F186" s="1" t="s">
        <v>11</v>
      </c>
      <c r="G186" s="1" t="s">
        <v>11</v>
      </c>
    </row>
    <row r="187" spans="1:8" x14ac:dyDescent="0.3">
      <c r="A187" s="1" t="s">
        <v>309</v>
      </c>
      <c r="B187" s="1" t="s">
        <v>297</v>
      </c>
      <c r="C187" s="1" t="s">
        <v>305</v>
      </c>
      <c r="D187" s="8">
        <v>84000</v>
      </c>
      <c r="E187" s="1" t="s">
        <v>85</v>
      </c>
      <c r="F187" s="1" t="s">
        <v>11</v>
      </c>
      <c r="G187" s="1" t="s">
        <v>11</v>
      </c>
    </row>
    <row r="188" spans="1:8" x14ac:dyDescent="0.3">
      <c r="A188" s="1" t="s">
        <v>310</v>
      </c>
      <c r="B188" s="10" t="s">
        <v>297</v>
      </c>
      <c r="C188" s="1" t="s">
        <v>307</v>
      </c>
      <c r="D188" s="8">
        <f>D187/2</f>
        <v>42000</v>
      </c>
      <c r="E188" s="1" t="s">
        <v>308</v>
      </c>
      <c r="F188" s="1" t="s">
        <v>11</v>
      </c>
      <c r="G188" s="1" t="s">
        <v>11</v>
      </c>
      <c r="H188" s="176"/>
    </row>
    <row r="189" spans="1:8" x14ac:dyDescent="0.3">
      <c r="A189" s="1" t="s">
        <v>311</v>
      </c>
      <c r="B189" s="1" t="s">
        <v>297</v>
      </c>
      <c r="C189" s="1" t="s">
        <v>305</v>
      </c>
      <c r="D189" s="8">
        <v>60000</v>
      </c>
      <c r="E189" s="1" t="s">
        <v>85</v>
      </c>
      <c r="F189" s="1" t="s">
        <v>11</v>
      </c>
      <c r="G189" s="1" t="s">
        <v>11</v>
      </c>
      <c r="H189" s="33"/>
    </row>
    <row r="190" spans="1:8" x14ac:dyDescent="0.3">
      <c r="A190" s="1" t="s">
        <v>312</v>
      </c>
      <c r="B190" s="10" t="s">
        <v>297</v>
      </c>
      <c r="C190" s="1" t="s">
        <v>307</v>
      </c>
      <c r="D190" s="8">
        <f>D189/2</f>
        <v>30000</v>
      </c>
      <c r="E190" s="1" t="s">
        <v>308</v>
      </c>
      <c r="F190" s="1" t="s">
        <v>11</v>
      </c>
      <c r="G190" s="1" t="s">
        <v>11</v>
      </c>
    </row>
    <row r="191" spans="1:8" x14ac:dyDescent="0.3">
      <c r="A191" s="1" t="s">
        <v>313</v>
      </c>
      <c r="B191" s="1" t="s">
        <v>297</v>
      </c>
      <c r="C191" s="1" t="s">
        <v>305</v>
      </c>
      <c r="D191" s="8">
        <v>90000</v>
      </c>
      <c r="E191" s="1" t="s">
        <v>85</v>
      </c>
      <c r="F191" s="1" t="s">
        <v>11</v>
      </c>
      <c r="G191" s="1" t="s">
        <v>11</v>
      </c>
    </row>
    <row r="192" spans="1:8" x14ac:dyDescent="0.3">
      <c r="A192" s="1" t="s">
        <v>314</v>
      </c>
      <c r="B192" s="10" t="s">
        <v>297</v>
      </c>
      <c r="C192" s="1" t="s">
        <v>307</v>
      </c>
      <c r="D192" s="8">
        <f>D191/2</f>
        <v>45000</v>
      </c>
      <c r="E192" s="1" t="s">
        <v>308</v>
      </c>
      <c r="F192" s="1" t="s">
        <v>11</v>
      </c>
      <c r="G192" s="1" t="s">
        <v>11</v>
      </c>
    </row>
    <row r="193" spans="1:8" x14ac:dyDescent="0.3">
      <c r="A193" s="1" t="s">
        <v>315</v>
      </c>
      <c r="B193" s="1" t="s">
        <v>297</v>
      </c>
      <c r="C193" s="1" t="s">
        <v>305</v>
      </c>
      <c r="D193" s="8">
        <v>80000</v>
      </c>
      <c r="E193" s="1" t="s">
        <v>142</v>
      </c>
      <c r="F193" s="1" t="s">
        <v>11</v>
      </c>
      <c r="G193" s="1" t="s">
        <v>11</v>
      </c>
    </row>
    <row r="194" spans="1:8" x14ac:dyDescent="0.3">
      <c r="A194" s="1" t="s">
        <v>316</v>
      </c>
      <c r="B194" s="10" t="s">
        <v>297</v>
      </c>
      <c r="C194" s="1" t="s">
        <v>307</v>
      </c>
      <c r="D194" s="8">
        <f>D193/2</f>
        <v>40000</v>
      </c>
      <c r="E194" s="1" t="s">
        <v>308</v>
      </c>
      <c r="F194" s="1" t="s">
        <v>11</v>
      </c>
      <c r="G194" s="1" t="s">
        <v>11</v>
      </c>
    </row>
    <row r="195" spans="1:8" x14ac:dyDescent="0.3">
      <c r="A195" s="1" t="s">
        <v>317</v>
      </c>
      <c r="B195" s="1" t="s">
        <v>297</v>
      </c>
      <c r="C195" s="1" t="s">
        <v>2</v>
      </c>
      <c r="D195" s="8">
        <f>124990/1.19</f>
        <v>105033.61344537816</v>
      </c>
      <c r="E195" s="1" t="s">
        <v>318</v>
      </c>
      <c r="F195" s="1" t="s">
        <v>11</v>
      </c>
      <c r="G195" s="1" t="s">
        <v>11</v>
      </c>
    </row>
    <row r="196" spans="1:8" x14ac:dyDescent="0.3">
      <c r="A196" s="1" t="s">
        <v>319</v>
      </c>
      <c r="B196" s="1" t="s">
        <v>297</v>
      </c>
      <c r="C196" s="1" t="s">
        <v>305</v>
      </c>
      <c r="D196" s="8">
        <v>40000</v>
      </c>
      <c r="E196" s="1" t="s">
        <v>85</v>
      </c>
      <c r="F196" s="1" t="s">
        <v>11</v>
      </c>
      <c r="G196" s="1" t="s">
        <v>11</v>
      </c>
    </row>
    <row r="197" spans="1:8" x14ac:dyDescent="0.3">
      <c r="A197" s="1" t="s">
        <v>320</v>
      </c>
      <c r="B197" s="10" t="s">
        <v>297</v>
      </c>
      <c r="C197" s="1" t="s">
        <v>307</v>
      </c>
      <c r="D197" s="8">
        <f>D196/2</f>
        <v>20000</v>
      </c>
      <c r="E197" s="1" t="s">
        <v>308</v>
      </c>
      <c r="F197" s="1" t="s">
        <v>11</v>
      </c>
      <c r="G197" s="1" t="s">
        <v>11</v>
      </c>
    </row>
    <row r="198" spans="1:8" x14ac:dyDescent="0.3">
      <c r="A198" s="1" t="s">
        <v>321</v>
      </c>
      <c r="B198" s="1" t="s">
        <v>297</v>
      </c>
      <c r="C198" s="1" t="s">
        <v>2</v>
      </c>
      <c r="D198" s="8">
        <v>50000</v>
      </c>
      <c r="E198" s="1" t="s">
        <v>85</v>
      </c>
      <c r="F198" s="1" t="s">
        <v>28</v>
      </c>
      <c r="G198" s="1" t="s">
        <v>11</v>
      </c>
    </row>
    <row r="199" spans="1:8" x14ac:dyDescent="0.3">
      <c r="A199" s="1" t="s">
        <v>322</v>
      </c>
      <c r="B199" s="1" t="s">
        <v>297</v>
      </c>
      <c r="C199" s="1" t="s">
        <v>298</v>
      </c>
      <c r="D199" s="8">
        <f>29590/1.19</f>
        <v>24865.546218487398</v>
      </c>
      <c r="E199" s="1" t="s">
        <v>323</v>
      </c>
      <c r="F199" s="1" t="s">
        <v>28</v>
      </c>
      <c r="G199" s="1" t="s">
        <v>28</v>
      </c>
    </row>
    <row r="200" spans="1:8" x14ac:dyDescent="0.3">
      <c r="A200" s="1" t="s">
        <v>324</v>
      </c>
      <c r="B200" s="1" t="s">
        <v>325</v>
      </c>
      <c r="C200" s="1" t="s">
        <v>2</v>
      </c>
      <c r="D200" s="102">
        <f>11990/1.19</f>
        <v>10075.63025210084</v>
      </c>
      <c r="E200" s="1" t="s">
        <v>326</v>
      </c>
      <c r="F200" s="1" t="s">
        <v>28</v>
      </c>
      <c r="G200" s="1" t="s">
        <v>11</v>
      </c>
    </row>
    <row r="201" spans="1:8" x14ac:dyDescent="0.3">
      <c r="A201" s="1" t="s">
        <v>329</v>
      </c>
      <c r="B201" s="1" t="s">
        <v>325</v>
      </c>
      <c r="C201" s="1" t="s">
        <v>2</v>
      </c>
      <c r="D201" s="8">
        <v>37541</v>
      </c>
      <c r="E201" s="1" t="s">
        <v>330</v>
      </c>
      <c r="F201" s="1" t="s">
        <v>11</v>
      </c>
      <c r="G201" s="1" t="s">
        <v>11</v>
      </c>
    </row>
    <row r="202" spans="1:8" x14ac:dyDescent="0.3">
      <c r="A202" s="1" t="s">
        <v>331</v>
      </c>
      <c r="B202" s="1" t="s">
        <v>325</v>
      </c>
      <c r="C202" s="1" t="s">
        <v>43</v>
      </c>
      <c r="D202" s="102">
        <v>7550</v>
      </c>
      <c r="E202" s="1" t="s">
        <v>326</v>
      </c>
      <c r="F202" s="1" t="s">
        <v>11</v>
      </c>
      <c r="G202" s="1" t="s">
        <v>11</v>
      </c>
    </row>
    <row r="203" spans="1:8" x14ac:dyDescent="0.3">
      <c r="A203" s="1" t="s">
        <v>332</v>
      </c>
      <c r="B203" s="1" t="s">
        <v>325</v>
      </c>
      <c r="C203" s="1" t="s">
        <v>43</v>
      </c>
      <c r="D203" s="8">
        <v>12596</v>
      </c>
      <c r="E203" s="1" t="s">
        <v>333</v>
      </c>
      <c r="F203" s="1" t="s">
        <v>11</v>
      </c>
      <c r="G203" s="1" t="s">
        <v>11</v>
      </c>
    </row>
    <row r="204" spans="1:8" x14ac:dyDescent="0.3">
      <c r="A204" s="1" t="s">
        <v>334</v>
      </c>
      <c r="B204" s="1" t="s">
        <v>325</v>
      </c>
      <c r="C204" s="1" t="s">
        <v>43</v>
      </c>
      <c r="D204" s="8">
        <v>22000</v>
      </c>
      <c r="E204" s="1" t="s">
        <v>335</v>
      </c>
      <c r="F204" s="1" t="s">
        <v>11</v>
      </c>
      <c r="G204" s="1" t="s">
        <v>11</v>
      </c>
    </row>
    <row r="205" spans="1:8" x14ac:dyDescent="0.3">
      <c r="A205" s="1" t="s">
        <v>336</v>
      </c>
      <c r="B205" s="1" t="s">
        <v>325</v>
      </c>
      <c r="C205" s="1" t="s">
        <v>2</v>
      </c>
      <c r="D205" s="8">
        <v>7479</v>
      </c>
      <c r="E205" s="1" t="s">
        <v>337</v>
      </c>
      <c r="F205" s="1" t="s">
        <v>11</v>
      </c>
      <c r="G205" s="1" t="s">
        <v>11</v>
      </c>
      <c r="H205" t="s">
        <v>338</v>
      </c>
    </row>
    <row r="206" spans="1:8" x14ac:dyDescent="0.3">
      <c r="A206" s="1" t="s">
        <v>339</v>
      </c>
      <c r="B206" s="1" t="s">
        <v>325</v>
      </c>
      <c r="C206" s="1" t="s">
        <v>43</v>
      </c>
      <c r="D206" s="8">
        <v>18500</v>
      </c>
      <c r="E206" s="1" t="s">
        <v>340</v>
      </c>
      <c r="F206" s="1" t="s">
        <v>11</v>
      </c>
      <c r="G206" s="1" t="s">
        <v>11</v>
      </c>
    </row>
    <row r="207" spans="1:8" x14ac:dyDescent="0.3">
      <c r="A207" s="1" t="s">
        <v>341</v>
      </c>
      <c r="B207" s="1" t="s">
        <v>325</v>
      </c>
      <c r="C207" s="1" t="s">
        <v>43</v>
      </c>
      <c r="D207" s="8">
        <f>11799/1.19</f>
        <v>9915.1260504201691</v>
      </c>
      <c r="E207" s="1" t="s">
        <v>342</v>
      </c>
      <c r="F207" s="1" t="s">
        <v>11</v>
      </c>
      <c r="G207" s="1" t="s">
        <v>11</v>
      </c>
    </row>
    <row r="208" spans="1:8" x14ac:dyDescent="0.3">
      <c r="A208" s="1" t="s">
        <v>345</v>
      </c>
      <c r="B208" s="1" t="s">
        <v>325</v>
      </c>
      <c r="C208" s="1" t="s">
        <v>305</v>
      </c>
      <c r="D208" s="8">
        <f>185990/1.19</f>
        <v>156294.11764705883</v>
      </c>
      <c r="E208" s="1" t="s">
        <v>346</v>
      </c>
      <c r="F208" s="1" t="s">
        <v>11</v>
      </c>
      <c r="G208" s="1" t="s">
        <v>11</v>
      </c>
    </row>
    <row r="209" spans="1:7" x14ac:dyDescent="0.3">
      <c r="A209" s="1" t="s">
        <v>348</v>
      </c>
      <c r="B209" s="1" t="s">
        <v>349</v>
      </c>
      <c r="C209" s="1" t="s">
        <v>2</v>
      </c>
      <c r="D209" s="8">
        <v>48731.092436974795</v>
      </c>
      <c r="E209" s="1" t="s">
        <v>350</v>
      </c>
      <c r="F209" s="1" t="s">
        <v>11</v>
      </c>
      <c r="G209" s="1" t="s">
        <v>11</v>
      </c>
    </row>
    <row r="210" spans="1:7" x14ac:dyDescent="0.3">
      <c r="A210" s="1" t="s">
        <v>351</v>
      </c>
      <c r="B210" s="1" t="s">
        <v>349</v>
      </c>
      <c r="C210" s="1" t="s">
        <v>2</v>
      </c>
      <c r="D210" s="102">
        <f>5290/1.19</f>
        <v>4445.3781512605046</v>
      </c>
      <c r="E210" s="1" t="s">
        <v>96</v>
      </c>
      <c r="F210" s="1" t="s">
        <v>352</v>
      </c>
      <c r="G210" s="1" t="s">
        <v>11</v>
      </c>
    </row>
    <row r="211" spans="1:7" x14ac:dyDescent="0.3">
      <c r="A211" s="1" t="s">
        <v>353</v>
      </c>
      <c r="B211" s="1" t="s">
        <v>349</v>
      </c>
      <c r="C211" s="1" t="s">
        <v>2</v>
      </c>
      <c r="D211" s="8">
        <v>3500</v>
      </c>
      <c r="E211" s="1" t="s">
        <v>85</v>
      </c>
      <c r="F211" s="1" t="s">
        <v>28</v>
      </c>
      <c r="G211" s="1" t="s">
        <v>11</v>
      </c>
    </row>
    <row r="212" spans="1:7" x14ac:dyDescent="0.3">
      <c r="A212" s="1" t="s">
        <v>354</v>
      </c>
      <c r="B212" s="1" t="s">
        <v>349</v>
      </c>
      <c r="C212" s="1" t="s">
        <v>2</v>
      </c>
      <c r="D212" s="8">
        <v>3500</v>
      </c>
      <c r="E212" s="1" t="s">
        <v>85</v>
      </c>
      <c r="F212" s="1" t="s">
        <v>28</v>
      </c>
      <c r="G212" s="1" t="s">
        <v>11</v>
      </c>
    </row>
    <row r="213" spans="1:7" x14ac:dyDescent="0.3">
      <c r="A213" s="1" t="s">
        <v>355</v>
      </c>
      <c r="B213" s="1" t="s">
        <v>349</v>
      </c>
      <c r="C213" s="1" t="s">
        <v>2</v>
      </c>
      <c r="D213" s="8">
        <f>13610/1.19</f>
        <v>11436.974789915967</v>
      </c>
      <c r="E213" s="1" t="s">
        <v>356</v>
      </c>
      <c r="F213" s="1" t="s">
        <v>11</v>
      </c>
      <c r="G213" s="1" t="s">
        <v>11</v>
      </c>
    </row>
    <row r="214" spans="1:7" x14ac:dyDescent="0.3">
      <c r="A214" s="1" t="s">
        <v>357</v>
      </c>
      <c r="B214" s="1" t="s">
        <v>349</v>
      </c>
      <c r="C214" s="1" t="s">
        <v>2</v>
      </c>
      <c r="D214" s="8">
        <v>5000</v>
      </c>
      <c r="E214" s="1" t="s">
        <v>85</v>
      </c>
      <c r="F214" s="1" t="s">
        <v>11</v>
      </c>
      <c r="G214" s="1" t="s">
        <v>11</v>
      </c>
    </row>
    <row r="215" spans="1:7" x14ac:dyDescent="0.3">
      <c r="A215" s="1" t="s">
        <v>358</v>
      </c>
      <c r="B215" s="1" t="s">
        <v>349</v>
      </c>
      <c r="C215" s="1" t="s">
        <v>2</v>
      </c>
      <c r="D215" s="8">
        <v>30000</v>
      </c>
      <c r="E215" s="1" t="s">
        <v>359</v>
      </c>
      <c r="F215" s="1" t="s">
        <v>11</v>
      </c>
      <c r="G215" s="1" t="s">
        <v>11</v>
      </c>
    </row>
    <row r="216" spans="1:7" x14ac:dyDescent="0.3">
      <c r="A216" s="1" t="s">
        <v>360</v>
      </c>
      <c r="B216" s="1" t="s">
        <v>349</v>
      </c>
      <c r="C216" s="1" t="s">
        <v>2</v>
      </c>
      <c r="D216" s="8">
        <v>35000</v>
      </c>
      <c r="E216" s="1" t="s">
        <v>85</v>
      </c>
      <c r="F216" s="1" t="s">
        <v>11</v>
      </c>
      <c r="G216" s="1" t="s">
        <v>11</v>
      </c>
    </row>
    <row r="217" spans="1:7" x14ac:dyDescent="0.3">
      <c r="A217" s="1" t="s">
        <v>361</v>
      </c>
      <c r="B217" s="1" t="s">
        <v>349</v>
      </c>
      <c r="C217" s="1" t="s">
        <v>2</v>
      </c>
      <c r="D217" s="8">
        <v>30500</v>
      </c>
      <c r="E217" s="1" t="s">
        <v>359</v>
      </c>
      <c r="F217" s="1" t="s">
        <v>11</v>
      </c>
      <c r="G217" s="1" t="s">
        <v>11</v>
      </c>
    </row>
    <row r="218" spans="1:7" x14ac:dyDescent="0.3">
      <c r="A218" s="9" t="s">
        <v>362</v>
      </c>
      <c r="B218" s="1" t="s">
        <v>349</v>
      </c>
      <c r="C218" s="1" t="s">
        <v>2</v>
      </c>
      <c r="D218" s="8">
        <f>80000/1.19</f>
        <v>67226.890756302528</v>
      </c>
      <c r="E218" s="1" t="s">
        <v>363</v>
      </c>
      <c r="F218" s="1" t="s">
        <v>11</v>
      </c>
      <c r="G218" s="1" t="s">
        <v>11</v>
      </c>
    </row>
    <row r="219" spans="1:7" x14ac:dyDescent="0.3">
      <c r="A219" s="9" t="s">
        <v>364</v>
      </c>
      <c r="B219" s="1" t="s">
        <v>349</v>
      </c>
      <c r="C219" s="1" t="s">
        <v>2</v>
      </c>
      <c r="D219" s="8">
        <v>11000</v>
      </c>
      <c r="E219" s="1" t="s">
        <v>85</v>
      </c>
      <c r="F219" s="1" t="s">
        <v>28</v>
      </c>
      <c r="G219" s="1" t="s">
        <v>11</v>
      </c>
    </row>
    <row r="220" spans="1:7" x14ac:dyDescent="0.3">
      <c r="A220" s="1" t="s">
        <v>365</v>
      </c>
      <c r="B220" s="1" t="s">
        <v>349</v>
      </c>
      <c r="C220" s="1" t="s">
        <v>2</v>
      </c>
      <c r="D220" s="8">
        <v>20000</v>
      </c>
      <c r="E220" s="1" t="s">
        <v>85</v>
      </c>
      <c r="F220" s="1" t="s">
        <v>28</v>
      </c>
      <c r="G220" s="1" t="s">
        <v>11</v>
      </c>
    </row>
    <row r="221" spans="1:7" x14ac:dyDescent="0.3">
      <c r="A221" s="1" t="s">
        <v>366</v>
      </c>
      <c r="B221" s="1" t="s">
        <v>349</v>
      </c>
      <c r="C221" s="1" t="s">
        <v>2</v>
      </c>
      <c r="D221" s="8">
        <f>3990/1.19</f>
        <v>3352.9411764705883</v>
      </c>
      <c r="E221" s="1" t="s">
        <v>356</v>
      </c>
      <c r="F221" s="1" t="s">
        <v>11</v>
      </c>
      <c r="G221" s="1" t="s">
        <v>11</v>
      </c>
    </row>
    <row r="222" spans="1:7" x14ac:dyDescent="0.3">
      <c r="A222" s="1" t="s">
        <v>367</v>
      </c>
      <c r="B222" s="1" t="s">
        <v>349</v>
      </c>
      <c r="C222" s="1" t="s">
        <v>2</v>
      </c>
      <c r="D222" s="8">
        <v>3020</v>
      </c>
      <c r="E222" s="1" t="s">
        <v>368</v>
      </c>
      <c r="F222" s="1" t="s">
        <v>28</v>
      </c>
      <c r="G222" s="1" t="s">
        <v>11</v>
      </c>
    </row>
    <row r="223" spans="1:7" x14ac:dyDescent="0.3">
      <c r="A223" s="1" t="s">
        <v>369</v>
      </c>
      <c r="B223" s="1" t="s">
        <v>349</v>
      </c>
      <c r="C223" s="1" t="s">
        <v>2</v>
      </c>
      <c r="D223" s="8">
        <v>30000</v>
      </c>
      <c r="E223" s="1" t="s">
        <v>370</v>
      </c>
      <c r="F223" s="1" t="s">
        <v>11</v>
      </c>
      <c r="G223" s="1" t="s">
        <v>11</v>
      </c>
    </row>
    <row r="224" spans="1:7" x14ac:dyDescent="0.3">
      <c r="A224" s="1" t="s">
        <v>371</v>
      </c>
      <c r="B224" s="1" t="s">
        <v>349</v>
      </c>
      <c r="C224" s="1" t="s">
        <v>2</v>
      </c>
      <c r="D224" s="8">
        <v>490000</v>
      </c>
      <c r="E224" s="1" t="s">
        <v>318</v>
      </c>
      <c r="F224" s="1" t="s">
        <v>11</v>
      </c>
      <c r="G224" s="1" t="s">
        <v>11</v>
      </c>
    </row>
    <row r="225" spans="1:7" x14ac:dyDescent="0.3">
      <c r="A225" s="1" t="s">
        <v>372</v>
      </c>
      <c r="B225" s="1" t="s">
        <v>349</v>
      </c>
      <c r="C225" s="1" t="s">
        <v>2</v>
      </c>
      <c r="D225" s="8">
        <v>980000</v>
      </c>
      <c r="E225" s="1" t="s">
        <v>373</v>
      </c>
      <c r="F225" s="1" t="s">
        <v>11</v>
      </c>
      <c r="G225" s="1" t="s">
        <v>11</v>
      </c>
    </row>
    <row r="226" spans="1:7" x14ac:dyDescent="0.3">
      <c r="A226" s="9" t="s">
        <v>374</v>
      </c>
      <c r="B226" s="1" t="s">
        <v>349</v>
      </c>
      <c r="C226" s="1" t="s">
        <v>2</v>
      </c>
      <c r="D226" s="8">
        <v>39990</v>
      </c>
      <c r="E226" s="1" t="s">
        <v>375</v>
      </c>
      <c r="F226" s="1" t="s">
        <v>11</v>
      </c>
      <c r="G226" s="1" t="s">
        <v>11</v>
      </c>
    </row>
    <row r="227" spans="1:7" x14ac:dyDescent="0.3">
      <c r="A227" s="1" t="s">
        <v>376</v>
      </c>
      <c r="B227" s="1" t="s">
        <v>349</v>
      </c>
      <c r="C227" s="1" t="s">
        <v>2</v>
      </c>
      <c r="D227" s="8">
        <v>1100000</v>
      </c>
      <c r="E227" s="1" t="s">
        <v>377</v>
      </c>
      <c r="F227" s="1" t="s">
        <v>11</v>
      </c>
      <c r="G227" s="1" t="s">
        <v>11</v>
      </c>
    </row>
    <row r="228" spans="1:7" x14ac:dyDescent="0.3">
      <c r="A228" s="1" t="s">
        <v>378</v>
      </c>
      <c r="B228" s="1" t="s">
        <v>349</v>
      </c>
      <c r="C228" s="1" t="s">
        <v>2</v>
      </c>
      <c r="D228" s="102">
        <f>308990/1.19</f>
        <v>259655.46218487396</v>
      </c>
      <c r="E228" s="1" t="s">
        <v>379</v>
      </c>
      <c r="F228" s="1" t="s">
        <v>11</v>
      </c>
      <c r="G228" s="1" t="s">
        <v>11</v>
      </c>
    </row>
    <row r="229" spans="1:7" x14ac:dyDescent="0.3">
      <c r="A229" s="1" t="s">
        <v>380</v>
      </c>
      <c r="B229" s="1" t="s">
        <v>349</v>
      </c>
      <c r="C229" s="1" t="s">
        <v>2</v>
      </c>
      <c r="D229" s="8">
        <v>85000</v>
      </c>
      <c r="E229" s="1" t="s">
        <v>287</v>
      </c>
      <c r="F229" s="1" t="s">
        <v>11</v>
      </c>
      <c r="G229" s="1" t="s">
        <v>11</v>
      </c>
    </row>
    <row r="230" spans="1:7" x14ac:dyDescent="0.3">
      <c r="A230" s="1" t="s">
        <v>381</v>
      </c>
      <c r="B230" s="1" t="s">
        <v>349</v>
      </c>
      <c r="C230" s="1" t="s">
        <v>2</v>
      </c>
      <c r="D230" s="8">
        <f>229900/1.19</f>
        <v>193193.27731092437</v>
      </c>
      <c r="E230" s="1" t="s">
        <v>363</v>
      </c>
      <c r="F230" s="1" t="s">
        <v>11</v>
      </c>
      <c r="G230" s="1" t="s">
        <v>11</v>
      </c>
    </row>
    <row r="231" spans="1:7" x14ac:dyDescent="0.3">
      <c r="A231" s="1" t="s">
        <v>382</v>
      </c>
      <c r="B231" s="1" t="s">
        <v>349</v>
      </c>
      <c r="C231" s="1" t="s">
        <v>2</v>
      </c>
      <c r="D231" s="8">
        <v>79900</v>
      </c>
      <c r="E231" s="1" t="s">
        <v>383</v>
      </c>
      <c r="F231" s="1" t="s">
        <v>11</v>
      </c>
      <c r="G231" s="1" t="s">
        <v>11</v>
      </c>
    </row>
    <row r="232" spans="1:7" x14ac:dyDescent="0.3">
      <c r="A232" s="1" t="s">
        <v>384</v>
      </c>
      <c r="B232" s="1" t="s">
        <v>349</v>
      </c>
      <c r="C232" s="1" t="s">
        <v>2</v>
      </c>
      <c r="D232" s="8">
        <v>179070</v>
      </c>
      <c r="E232" s="1" t="s">
        <v>385</v>
      </c>
      <c r="F232" s="1" t="s">
        <v>11</v>
      </c>
      <c r="G232" s="1" t="s">
        <v>28</v>
      </c>
    </row>
    <row r="233" spans="1:7" x14ac:dyDescent="0.3">
      <c r="A233" s="1" t="s">
        <v>386</v>
      </c>
      <c r="B233" s="1" t="s">
        <v>349</v>
      </c>
      <c r="C233" s="1" t="s">
        <v>2</v>
      </c>
      <c r="D233" s="8">
        <v>79900</v>
      </c>
      <c r="E233" s="1" t="s">
        <v>383</v>
      </c>
      <c r="F233" s="1" t="s">
        <v>11</v>
      </c>
      <c r="G233" s="1" t="s">
        <v>11</v>
      </c>
    </row>
    <row r="234" spans="1:7" x14ac:dyDescent="0.3">
      <c r="A234" s="1" t="s">
        <v>387</v>
      </c>
      <c r="B234" s="1" t="s">
        <v>349</v>
      </c>
      <c r="C234" s="1" t="s">
        <v>2</v>
      </c>
      <c r="D234" s="8">
        <f>220560/1.19</f>
        <v>185344.53781512607</v>
      </c>
      <c r="E234" s="1" t="s">
        <v>388</v>
      </c>
      <c r="F234" s="1" t="s">
        <v>11</v>
      </c>
      <c r="G234" s="1" t="s">
        <v>11</v>
      </c>
    </row>
    <row r="235" spans="1:7" x14ac:dyDescent="0.3">
      <c r="A235" s="1" t="s">
        <v>389</v>
      </c>
      <c r="B235" s="1" t="s">
        <v>349</v>
      </c>
      <c r="C235" s="1" t="s">
        <v>2</v>
      </c>
      <c r="D235" s="8">
        <v>150000</v>
      </c>
      <c r="E235" s="1" t="s">
        <v>85</v>
      </c>
      <c r="F235" s="1" t="s">
        <v>11</v>
      </c>
      <c r="G235" s="1" t="s">
        <v>11</v>
      </c>
    </row>
    <row r="236" spans="1:7" x14ac:dyDescent="0.3">
      <c r="A236" s="1" t="s">
        <v>390</v>
      </c>
      <c r="B236" s="1" t="s">
        <v>349</v>
      </c>
      <c r="C236" s="1" t="s">
        <v>2</v>
      </c>
      <c r="D236" s="8">
        <v>74990</v>
      </c>
      <c r="E236" s="1" t="s">
        <v>391</v>
      </c>
      <c r="F236" s="1" t="s">
        <v>11</v>
      </c>
      <c r="G236" s="1" t="s">
        <v>11</v>
      </c>
    </row>
    <row r="237" spans="1:7" x14ac:dyDescent="0.3">
      <c r="A237" s="1" t="s">
        <v>392</v>
      </c>
      <c r="B237" s="1" t="s">
        <v>349</v>
      </c>
      <c r="C237" s="1" t="s">
        <v>2</v>
      </c>
      <c r="D237" s="8">
        <v>129990</v>
      </c>
      <c r="E237" s="1" t="s">
        <v>375</v>
      </c>
      <c r="F237" s="1" t="s">
        <v>11</v>
      </c>
      <c r="G237" s="1" t="s">
        <v>11</v>
      </c>
    </row>
    <row r="238" spans="1:7" x14ac:dyDescent="0.3">
      <c r="A238" s="1" t="s">
        <v>393</v>
      </c>
      <c r="B238" s="1" t="s">
        <v>349</v>
      </c>
      <c r="C238" s="1" t="s">
        <v>2</v>
      </c>
      <c r="D238" s="8">
        <f>40390/1.19</f>
        <v>33941.176470588238</v>
      </c>
      <c r="E238" s="1" t="s">
        <v>394</v>
      </c>
      <c r="F238" s="1" t="s">
        <v>11</v>
      </c>
      <c r="G238" s="1" t="s">
        <v>11</v>
      </c>
    </row>
    <row r="239" spans="1:7" x14ac:dyDescent="0.3">
      <c r="A239" s="1" t="s">
        <v>395</v>
      </c>
      <c r="B239" s="1" t="s">
        <v>349</v>
      </c>
      <c r="C239" s="1" t="s">
        <v>2</v>
      </c>
      <c r="D239" s="8">
        <v>30244</v>
      </c>
      <c r="E239" s="1" t="s">
        <v>370</v>
      </c>
      <c r="F239" s="1" t="s">
        <v>11</v>
      </c>
      <c r="G239" s="1" t="s">
        <v>11</v>
      </c>
    </row>
    <row r="240" spans="1:7" x14ac:dyDescent="0.3">
      <c r="A240" s="1" t="s">
        <v>396</v>
      </c>
      <c r="B240" s="1" t="s">
        <v>349</v>
      </c>
      <c r="C240" s="1" t="s">
        <v>2</v>
      </c>
      <c r="D240" s="8">
        <v>35000</v>
      </c>
      <c r="E240" s="1" t="s">
        <v>370</v>
      </c>
      <c r="F240" s="1" t="s">
        <v>11</v>
      </c>
      <c r="G240" s="1" t="s">
        <v>11</v>
      </c>
    </row>
    <row r="241" spans="1:7" x14ac:dyDescent="0.3">
      <c r="A241" s="1" t="s">
        <v>397</v>
      </c>
      <c r="B241" s="1" t="s">
        <v>349</v>
      </c>
      <c r="C241" s="1" t="s">
        <v>2</v>
      </c>
      <c r="D241" s="8">
        <v>80000</v>
      </c>
      <c r="E241" s="1" t="s">
        <v>398</v>
      </c>
      <c r="F241" s="1" t="s">
        <v>11</v>
      </c>
      <c r="G241" s="1" t="s">
        <v>11</v>
      </c>
    </row>
    <row r="242" spans="1:7" x14ac:dyDescent="0.3">
      <c r="A242" s="1" t="s">
        <v>399</v>
      </c>
      <c r="B242" s="1" t="s">
        <v>349</v>
      </c>
      <c r="C242" s="1" t="s">
        <v>2</v>
      </c>
      <c r="D242" s="8">
        <f>475990/1.19</f>
        <v>399991.59663865546</v>
      </c>
      <c r="E242" s="1" t="s">
        <v>400</v>
      </c>
      <c r="F242" s="1" t="s">
        <v>11</v>
      </c>
      <c r="G242" s="1" t="s">
        <v>11</v>
      </c>
    </row>
    <row r="243" spans="1:7" x14ac:dyDescent="0.3">
      <c r="A243" s="1" t="s">
        <v>401</v>
      </c>
      <c r="B243" s="1" t="s">
        <v>349</v>
      </c>
      <c r="C243" s="1" t="s">
        <v>2</v>
      </c>
      <c r="D243" s="8">
        <f>479990/1.19</f>
        <v>403352.9411764706</v>
      </c>
      <c r="E243" s="1" t="s">
        <v>400</v>
      </c>
      <c r="F243" s="1" t="s">
        <v>11</v>
      </c>
      <c r="G243" s="1" t="s">
        <v>11</v>
      </c>
    </row>
    <row r="244" spans="1:7" x14ac:dyDescent="0.3">
      <c r="A244" s="1" t="s">
        <v>402</v>
      </c>
      <c r="B244" s="1" t="s">
        <v>349</v>
      </c>
      <c r="C244" s="1" t="s">
        <v>2</v>
      </c>
      <c r="D244" s="8">
        <v>329990</v>
      </c>
      <c r="E244" s="1" t="s">
        <v>375</v>
      </c>
      <c r="F244" s="1" t="s">
        <v>11</v>
      </c>
      <c r="G244" s="1" t="s">
        <v>11</v>
      </c>
    </row>
    <row r="245" spans="1:7" x14ac:dyDescent="0.3">
      <c r="A245" s="1" t="s">
        <v>403</v>
      </c>
      <c r="B245" s="1" t="s">
        <v>349</v>
      </c>
      <c r="C245" s="1" t="s">
        <v>2</v>
      </c>
      <c r="D245" s="8">
        <v>144990</v>
      </c>
      <c r="E245" s="1" t="s">
        <v>375</v>
      </c>
      <c r="F245" s="1" t="s">
        <v>11</v>
      </c>
      <c r="G245" s="1" t="s">
        <v>11</v>
      </c>
    </row>
    <row r="246" spans="1:7" x14ac:dyDescent="0.3">
      <c r="A246" s="1" t="s">
        <v>404</v>
      </c>
      <c r="B246" s="1" t="s">
        <v>349</v>
      </c>
      <c r="C246" s="1" t="s">
        <v>2</v>
      </c>
      <c r="D246" s="8">
        <v>126000</v>
      </c>
      <c r="E246" s="1" t="s">
        <v>405</v>
      </c>
      <c r="F246" s="1" t="s">
        <v>11</v>
      </c>
      <c r="G246" s="1" t="s">
        <v>11</v>
      </c>
    </row>
    <row r="247" spans="1:7" x14ac:dyDescent="0.3">
      <c r="A247" s="1" t="s">
        <v>406</v>
      </c>
      <c r="B247" s="1" t="s">
        <v>349</v>
      </c>
      <c r="C247" s="1" t="s">
        <v>2</v>
      </c>
      <c r="D247" s="8">
        <v>132000</v>
      </c>
      <c r="E247" s="1" t="s">
        <v>407</v>
      </c>
      <c r="F247" s="1" t="s">
        <v>11</v>
      </c>
      <c r="G247" s="1" t="s">
        <v>11</v>
      </c>
    </row>
    <row r="248" spans="1:7" x14ac:dyDescent="0.3">
      <c r="A248" s="1" t="s">
        <v>408</v>
      </c>
      <c r="B248" s="1" t="s">
        <v>349</v>
      </c>
      <c r="C248" s="1" t="s">
        <v>2</v>
      </c>
      <c r="D248" s="106">
        <v>560000</v>
      </c>
      <c r="E248" s="1" t="s">
        <v>373</v>
      </c>
      <c r="F248" s="1" t="s">
        <v>11</v>
      </c>
      <c r="G248" s="1" t="s">
        <v>11</v>
      </c>
    </row>
    <row r="249" spans="1:7" x14ac:dyDescent="0.3">
      <c r="A249" s="1" t="s">
        <v>409</v>
      </c>
      <c r="B249" s="1" t="s">
        <v>349</v>
      </c>
      <c r="C249" s="1" t="s">
        <v>2</v>
      </c>
      <c r="D249" s="8">
        <v>453782</v>
      </c>
      <c r="E249" s="1" t="s">
        <v>410</v>
      </c>
      <c r="F249" s="1" t="s">
        <v>11</v>
      </c>
      <c r="G249" s="1" t="s">
        <v>11</v>
      </c>
    </row>
    <row r="250" spans="1:7" x14ac:dyDescent="0.3">
      <c r="A250" s="1" t="s">
        <v>411</v>
      </c>
      <c r="B250" s="1" t="s">
        <v>349</v>
      </c>
      <c r="C250" s="1" t="s">
        <v>2</v>
      </c>
      <c r="D250" s="8">
        <v>70000</v>
      </c>
      <c r="E250" s="1" t="s">
        <v>193</v>
      </c>
      <c r="F250" s="1" t="s">
        <v>11</v>
      </c>
      <c r="G250" s="1" t="s">
        <v>11</v>
      </c>
    </row>
    <row r="251" spans="1:7" x14ac:dyDescent="0.3">
      <c r="A251" s="1" t="s">
        <v>412</v>
      </c>
      <c r="B251" s="1" t="s">
        <v>413</v>
      </c>
      <c r="C251" s="1" t="s">
        <v>2</v>
      </c>
      <c r="D251" s="8">
        <v>3000</v>
      </c>
      <c r="E251" s="1" t="s">
        <v>414</v>
      </c>
      <c r="F251" s="1" t="s">
        <v>11</v>
      </c>
      <c r="G251" s="1" t="s">
        <v>11</v>
      </c>
    </row>
    <row r="252" spans="1:7" x14ac:dyDescent="0.3">
      <c r="A252" s="1" t="s">
        <v>415</v>
      </c>
      <c r="B252" s="1" t="s">
        <v>416</v>
      </c>
      <c r="C252" s="1" t="s">
        <v>2</v>
      </c>
      <c r="D252" s="8">
        <v>124</v>
      </c>
      <c r="E252" s="1" t="s">
        <v>417</v>
      </c>
      <c r="F252" s="1" t="s">
        <v>28</v>
      </c>
      <c r="G252" s="1" t="s">
        <v>11</v>
      </c>
    </row>
    <row r="253" spans="1:7" x14ac:dyDescent="0.3">
      <c r="A253" s="1" t="s">
        <v>418</v>
      </c>
      <c r="B253" s="1" t="s">
        <v>416</v>
      </c>
      <c r="C253" s="1" t="s">
        <v>2</v>
      </c>
      <c r="D253" s="8">
        <v>1000</v>
      </c>
      <c r="E253" s="1" t="s">
        <v>419</v>
      </c>
      <c r="F253" s="1" t="s">
        <v>28</v>
      </c>
      <c r="G253" s="1" t="s">
        <v>11</v>
      </c>
    </row>
    <row r="254" spans="1:7" x14ac:dyDescent="0.3">
      <c r="A254" s="1" t="s">
        <v>420</v>
      </c>
      <c r="B254" s="1" t="s">
        <v>416</v>
      </c>
      <c r="C254" s="1" t="s">
        <v>2</v>
      </c>
      <c r="D254" s="8">
        <v>1778</v>
      </c>
      <c r="E254" s="1" t="s">
        <v>417</v>
      </c>
      <c r="F254" s="1" t="s">
        <v>28</v>
      </c>
      <c r="G254" s="1" t="s">
        <v>11</v>
      </c>
    </row>
    <row r="255" spans="1:7" x14ac:dyDescent="0.3">
      <c r="A255" s="1" t="s">
        <v>421</v>
      </c>
      <c r="B255" s="1" t="s">
        <v>416</v>
      </c>
      <c r="C255" s="1" t="s">
        <v>2</v>
      </c>
      <c r="D255" s="8">
        <v>2400</v>
      </c>
      <c r="E255" s="1" t="s">
        <v>422</v>
      </c>
      <c r="F255" s="1" t="s">
        <v>28</v>
      </c>
      <c r="G255" s="1" t="s">
        <v>11</v>
      </c>
    </row>
    <row r="256" spans="1:7" x14ac:dyDescent="0.3">
      <c r="A256" s="1" t="s">
        <v>423</v>
      </c>
      <c r="B256" s="1" t="s">
        <v>416</v>
      </c>
      <c r="C256" s="1" t="s">
        <v>2</v>
      </c>
      <c r="D256" s="8">
        <v>2500</v>
      </c>
      <c r="E256" s="1" t="s">
        <v>422</v>
      </c>
      <c r="F256" s="1" t="s">
        <v>28</v>
      </c>
      <c r="G256" s="1" t="s">
        <v>11</v>
      </c>
    </row>
    <row r="257" spans="1:7" x14ac:dyDescent="0.3">
      <c r="A257" s="1" t="s">
        <v>424</v>
      </c>
      <c r="B257" s="1" t="s">
        <v>416</v>
      </c>
      <c r="C257" s="1" t="s">
        <v>2</v>
      </c>
      <c r="D257" s="8">
        <v>1000</v>
      </c>
      <c r="E257" s="1" t="s">
        <v>422</v>
      </c>
      <c r="F257" s="1" t="s">
        <v>28</v>
      </c>
      <c r="G257" s="1" t="s">
        <v>11</v>
      </c>
    </row>
    <row r="258" spans="1:7" x14ac:dyDescent="0.3">
      <c r="A258" s="1" t="s">
        <v>425</v>
      </c>
      <c r="B258" s="1" t="s">
        <v>416</v>
      </c>
      <c r="C258" s="1" t="s">
        <v>2</v>
      </c>
      <c r="D258" s="8">
        <v>1300</v>
      </c>
      <c r="E258" s="1" t="s">
        <v>422</v>
      </c>
      <c r="F258" s="1" t="s">
        <v>28</v>
      </c>
      <c r="G258" s="1" t="s">
        <v>11</v>
      </c>
    </row>
    <row r="259" spans="1:7" x14ac:dyDescent="0.3">
      <c r="A259" s="1" t="s">
        <v>426</v>
      </c>
      <c r="B259" s="1" t="s">
        <v>416</v>
      </c>
      <c r="C259" s="1" t="s">
        <v>2</v>
      </c>
      <c r="D259" s="8">
        <v>1950</v>
      </c>
      <c r="E259" s="1" t="s">
        <v>422</v>
      </c>
      <c r="F259" s="1" t="s">
        <v>28</v>
      </c>
      <c r="G259" s="1" t="s">
        <v>11</v>
      </c>
    </row>
    <row r="260" spans="1:7" x14ac:dyDescent="0.3">
      <c r="A260" s="9" t="s">
        <v>427</v>
      </c>
      <c r="B260" s="1" t="s">
        <v>416</v>
      </c>
      <c r="C260" s="1" t="s">
        <v>2</v>
      </c>
      <c r="D260" s="8">
        <v>95</v>
      </c>
      <c r="E260" s="1" t="s">
        <v>417</v>
      </c>
      <c r="F260" s="1" t="s">
        <v>28</v>
      </c>
      <c r="G260" s="1" t="s">
        <v>11</v>
      </c>
    </row>
    <row r="261" spans="1:7" x14ac:dyDescent="0.3">
      <c r="A261" s="1" t="s">
        <v>428</v>
      </c>
      <c r="B261" s="1" t="s">
        <v>416</v>
      </c>
      <c r="C261" s="1" t="s">
        <v>2</v>
      </c>
      <c r="D261" s="8">
        <v>200</v>
      </c>
      <c r="E261" s="1" t="s">
        <v>429</v>
      </c>
      <c r="F261" s="1" t="s">
        <v>28</v>
      </c>
      <c r="G261" s="1" t="s">
        <v>11</v>
      </c>
    </row>
    <row r="262" spans="1:7" x14ac:dyDescent="0.3">
      <c r="A262" s="1" t="s">
        <v>430</v>
      </c>
      <c r="B262" s="1" t="s">
        <v>416</v>
      </c>
      <c r="C262" s="1" t="s">
        <v>2</v>
      </c>
      <c r="D262" s="8">
        <v>5000</v>
      </c>
      <c r="E262" s="1" t="s">
        <v>85</v>
      </c>
      <c r="F262" s="1" t="s">
        <v>28</v>
      </c>
      <c r="G262" s="1" t="s">
        <v>11</v>
      </c>
    </row>
    <row r="263" spans="1:7" x14ac:dyDescent="0.3">
      <c r="A263" s="1" t="s">
        <v>431</v>
      </c>
      <c r="B263" s="1" t="s">
        <v>416</v>
      </c>
      <c r="C263" s="1" t="s">
        <v>2</v>
      </c>
      <c r="D263" s="8">
        <v>5000</v>
      </c>
      <c r="E263" s="1" t="s">
        <v>85</v>
      </c>
      <c r="F263" s="1" t="s">
        <v>28</v>
      </c>
      <c r="G263" s="1" t="s">
        <v>11</v>
      </c>
    </row>
    <row r="264" spans="1:7" x14ac:dyDescent="0.3">
      <c r="A264" s="1" t="s">
        <v>432</v>
      </c>
      <c r="B264" s="1" t="s">
        <v>416</v>
      </c>
      <c r="C264" s="1" t="s">
        <v>2</v>
      </c>
      <c r="D264" s="8">
        <v>3500</v>
      </c>
      <c r="E264" s="1" t="s">
        <v>85</v>
      </c>
      <c r="F264" s="1" t="s">
        <v>28</v>
      </c>
      <c r="G264" s="1" t="s">
        <v>11</v>
      </c>
    </row>
    <row r="265" spans="1:7" x14ac:dyDescent="0.3">
      <c r="A265" s="1" t="s">
        <v>433</v>
      </c>
      <c r="B265" s="1" t="s">
        <v>416</v>
      </c>
      <c r="C265" s="1" t="s">
        <v>2</v>
      </c>
      <c r="D265" s="8">
        <v>3000</v>
      </c>
      <c r="E265" s="1" t="s">
        <v>85</v>
      </c>
      <c r="F265" s="1" t="s">
        <v>28</v>
      </c>
      <c r="G265" s="1" t="s">
        <v>11</v>
      </c>
    </row>
    <row r="266" spans="1:7" x14ac:dyDescent="0.3">
      <c r="A266" s="1" t="s">
        <v>434</v>
      </c>
      <c r="B266" s="1" t="s">
        <v>416</v>
      </c>
      <c r="C266" s="1" t="s">
        <v>2</v>
      </c>
      <c r="D266" s="8">
        <v>85000</v>
      </c>
      <c r="E266" s="1" t="s">
        <v>435</v>
      </c>
      <c r="F266" s="1" t="s">
        <v>28</v>
      </c>
      <c r="G266" s="1" t="s">
        <v>11</v>
      </c>
    </row>
    <row r="267" spans="1:7" x14ac:dyDescent="0.3">
      <c r="A267" s="1" t="s">
        <v>436</v>
      </c>
      <c r="B267" s="1" t="s">
        <v>416</v>
      </c>
      <c r="C267" s="1" t="s">
        <v>2</v>
      </c>
      <c r="D267" s="8">
        <v>10084</v>
      </c>
      <c r="E267" s="1" t="s">
        <v>85</v>
      </c>
      <c r="F267" s="1" t="s">
        <v>28</v>
      </c>
      <c r="G267" s="1" t="s">
        <v>11</v>
      </c>
    </row>
    <row r="268" spans="1:7" x14ac:dyDescent="0.3">
      <c r="A268" s="1" t="s">
        <v>437</v>
      </c>
      <c r="B268" s="1" t="s">
        <v>416</v>
      </c>
      <c r="C268" s="1" t="s">
        <v>2</v>
      </c>
      <c r="D268" s="8">
        <v>152000</v>
      </c>
      <c r="E268" s="1" t="s">
        <v>142</v>
      </c>
      <c r="F268" s="1" t="s">
        <v>28</v>
      </c>
      <c r="G268" s="1" t="s">
        <v>11</v>
      </c>
    </row>
    <row r="269" spans="1:7" x14ac:dyDescent="0.3">
      <c r="A269" s="1" t="s">
        <v>438</v>
      </c>
      <c r="B269" s="1" t="s">
        <v>416</v>
      </c>
      <c r="C269" s="1" t="s">
        <v>2</v>
      </c>
      <c r="D269" s="8">
        <v>100000</v>
      </c>
      <c r="E269" s="1" t="s">
        <v>398</v>
      </c>
      <c r="F269" s="1" t="s">
        <v>11</v>
      </c>
      <c r="G269" s="1" t="s">
        <v>11</v>
      </c>
    </row>
    <row r="270" spans="1:7" x14ac:dyDescent="0.3">
      <c r="A270" s="1" t="s">
        <v>439</v>
      </c>
      <c r="B270" s="1" t="s">
        <v>416</v>
      </c>
      <c r="C270" s="1" t="s">
        <v>2</v>
      </c>
      <c r="D270" s="8">
        <v>8000</v>
      </c>
      <c r="E270" s="1" t="s">
        <v>85</v>
      </c>
      <c r="F270" s="1" t="s">
        <v>28</v>
      </c>
      <c r="G270" s="1" t="s">
        <v>11</v>
      </c>
    </row>
    <row r="271" spans="1:7" x14ac:dyDescent="0.3">
      <c r="A271" s="1" t="s">
        <v>440</v>
      </c>
      <c r="B271" s="1" t="s">
        <v>416</v>
      </c>
      <c r="C271" s="1" t="s">
        <v>2</v>
      </c>
      <c r="D271" s="8">
        <v>3500</v>
      </c>
      <c r="E271" s="1" t="s">
        <v>85</v>
      </c>
      <c r="F271" s="1" t="s">
        <v>28</v>
      </c>
      <c r="G271" s="1" t="s">
        <v>11</v>
      </c>
    </row>
    <row r="272" spans="1:7" x14ac:dyDescent="0.3">
      <c r="A272" s="1" t="s">
        <v>441</v>
      </c>
      <c r="B272" s="1" t="s">
        <v>416</v>
      </c>
      <c r="C272" s="1" t="s">
        <v>2</v>
      </c>
      <c r="D272" s="8">
        <v>1504</v>
      </c>
      <c r="E272" s="1" t="s">
        <v>422</v>
      </c>
      <c r="F272" s="1" t="s">
        <v>28</v>
      </c>
      <c r="G272" s="1" t="s">
        <v>11</v>
      </c>
    </row>
    <row r="273" spans="1:7" x14ac:dyDescent="0.3">
      <c r="A273" s="1" t="s">
        <v>442</v>
      </c>
      <c r="B273" s="1" t="s">
        <v>416</v>
      </c>
      <c r="C273" s="1" t="s">
        <v>2</v>
      </c>
      <c r="D273" s="8">
        <v>1504</v>
      </c>
      <c r="E273" s="1" t="s">
        <v>85</v>
      </c>
      <c r="F273" s="1" t="s">
        <v>28</v>
      </c>
      <c r="G273" s="1" t="s">
        <v>11</v>
      </c>
    </row>
    <row r="274" spans="1:7" x14ac:dyDescent="0.3">
      <c r="A274" s="1" t="s">
        <v>443</v>
      </c>
      <c r="B274" s="1" t="s">
        <v>416</v>
      </c>
      <c r="C274" s="1" t="s">
        <v>2</v>
      </c>
      <c r="D274" s="8">
        <v>2345</v>
      </c>
      <c r="E274" s="1" t="s">
        <v>417</v>
      </c>
      <c r="F274" s="1" t="s">
        <v>28</v>
      </c>
      <c r="G274" s="1" t="s">
        <v>11</v>
      </c>
    </row>
    <row r="275" spans="1:7" x14ac:dyDescent="0.3">
      <c r="A275" s="1" t="s">
        <v>444</v>
      </c>
      <c r="B275" s="1" t="s">
        <v>416</v>
      </c>
      <c r="C275" s="1" t="s">
        <v>2</v>
      </c>
      <c r="D275" s="8">
        <v>5000</v>
      </c>
      <c r="E275" s="1" t="s">
        <v>85</v>
      </c>
      <c r="F275" s="1" t="s">
        <v>28</v>
      </c>
      <c r="G275" s="1" t="s">
        <v>11</v>
      </c>
    </row>
    <row r="276" spans="1:7" x14ac:dyDescent="0.3">
      <c r="A276" s="1" t="s">
        <v>445</v>
      </c>
      <c r="B276" s="1" t="s">
        <v>416</v>
      </c>
      <c r="C276" s="1" t="s">
        <v>2</v>
      </c>
      <c r="D276" s="8">
        <v>14300</v>
      </c>
      <c r="E276" s="1" t="s">
        <v>422</v>
      </c>
      <c r="F276" s="1" t="s">
        <v>28</v>
      </c>
      <c r="G276" s="1" t="s">
        <v>11</v>
      </c>
    </row>
    <row r="277" spans="1:7" x14ac:dyDescent="0.3">
      <c r="A277" s="1" t="s">
        <v>446</v>
      </c>
      <c r="B277" s="1" t="s">
        <v>416</v>
      </c>
      <c r="C277" s="1" t="s">
        <v>2</v>
      </c>
      <c r="D277" s="8">
        <v>3350</v>
      </c>
      <c r="E277" s="1" t="s">
        <v>429</v>
      </c>
      <c r="F277" s="1" t="s">
        <v>28</v>
      </c>
      <c r="G277" s="1" t="s">
        <v>11</v>
      </c>
    </row>
    <row r="278" spans="1:7" x14ac:dyDescent="0.3">
      <c r="A278" s="1" t="s">
        <v>447</v>
      </c>
      <c r="B278" s="1" t="s">
        <v>416</v>
      </c>
      <c r="C278" s="1" t="s">
        <v>2</v>
      </c>
      <c r="D278" s="8">
        <v>1000</v>
      </c>
      <c r="E278" s="1" t="s">
        <v>422</v>
      </c>
      <c r="F278" s="1" t="s">
        <v>28</v>
      </c>
      <c r="G278" s="1" t="s">
        <v>11</v>
      </c>
    </row>
    <row r="279" spans="1:7" x14ac:dyDescent="0.3">
      <c r="A279" s="1" t="s">
        <v>448</v>
      </c>
      <c r="B279" s="1" t="s">
        <v>416</v>
      </c>
      <c r="C279" s="1" t="s">
        <v>2</v>
      </c>
      <c r="D279" s="8">
        <v>3600</v>
      </c>
      <c r="E279" s="1" t="s">
        <v>449</v>
      </c>
      <c r="F279" s="1" t="s">
        <v>28</v>
      </c>
      <c r="G279" s="1" t="s">
        <v>11</v>
      </c>
    </row>
    <row r="280" spans="1:7" x14ac:dyDescent="0.3">
      <c r="A280" s="1" t="s">
        <v>450</v>
      </c>
      <c r="B280" s="1" t="s">
        <v>451</v>
      </c>
      <c r="C280" s="1" t="s">
        <v>2</v>
      </c>
      <c r="D280" s="102">
        <f>5290/1.19</f>
        <v>4445.3781512605046</v>
      </c>
      <c r="E280" s="1" t="s">
        <v>96</v>
      </c>
      <c r="F280" s="1" t="s">
        <v>28</v>
      </c>
      <c r="G280" s="1" t="s">
        <v>11</v>
      </c>
    </row>
    <row r="281" spans="1:7" x14ac:dyDescent="0.3">
      <c r="A281" s="1" t="s">
        <v>452</v>
      </c>
      <c r="B281" s="1" t="s">
        <v>451</v>
      </c>
      <c r="C281" s="1" t="s">
        <v>2</v>
      </c>
      <c r="D281" s="8">
        <v>13900</v>
      </c>
      <c r="E281" s="1" t="s">
        <v>85</v>
      </c>
      <c r="F281" s="1" t="s">
        <v>28</v>
      </c>
      <c r="G281" s="1" t="s">
        <v>11</v>
      </c>
    </row>
    <row r="282" spans="1:7" x14ac:dyDescent="0.3">
      <c r="A282" s="1" t="s">
        <v>453</v>
      </c>
      <c r="B282" s="1" t="s">
        <v>451</v>
      </c>
      <c r="C282" s="1" t="s">
        <v>2</v>
      </c>
      <c r="D282" s="8">
        <v>13450</v>
      </c>
      <c r="E282" s="1" t="s">
        <v>24</v>
      </c>
      <c r="F282" s="1" t="s">
        <v>28</v>
      </c>
      <c r="G282" s="1" t="s">
        <v>11</v>
      </c>
    </row>
    <row r="283" spans="1:7" x14ac:dyDescent="0.3">
      <c r="A283" s="1" t="s">
        <v>454</v>
      </c>
      <c r="B283" s="1" t="s">
        <v>451</v>
      </c>
      <c r="C283" s="1" t="s">
        <v>2</v>
      </c>
      <c r="D283" s="8">
        <v>1000</v>
      </c>
      <c r="E283" s="1" t="s">
        <v>455</v>
      </c>
      <c r="F283" s="1" t="s">
        <v>28</v>
      </c>
      <c r="G283" s="1" t="s">
        <v>11</v>
      </c>
    </row>
    <row r="284" spans="1:7" x14ac:dyDescent="0.3">
      <c r="A284" s="1" t="s">
        <v>456</v>
      </c>
      <c r="B284" s="1" t="s">
        <v>451</v>
      </c>
      <c r="C284" s="1" t="s">
        <v>2</v>
      </c>
      <c r="D284" s="8">
        <f>11090/1.19</f>
        <v>9319.3277310924368</v>
      </c>
      <c r="E284" s="1" t="s">
        <v>457</v>
      </c>
      <c r="F284" s="1" t="s">
        <v>11</v>
      </c>
      <c r="G284" s="1" t="s">
        <v>11</v>
      </c>
    </row>
    <row r="285" spans="1:7" x14ac:dyDescent="0.3">
      <c r="A285" s="1" t="s">
        <v>458</v>
      </c>
      <c r="B285" s="1" t="s">
        <v>451</v>
      </c>
      <c r="C285" s="1" t="s">
        <v>2</v>
      </c>
      <c r="D285" s="8">
        <v>1256</v>
      </c>
      <c r="E285" s="1" t="s">
        <v>459</v>
      </c>
      <c r="F285" s="1" t="s">
        <v>28</v>
      </c>
      <c r="G285" s="1" t="s">
        <v>11</v>
      </c>
    </row>
    <row r="286" spans="1:7" x14ac:dyDescent="0.3">
      <c r="A286" s="1" t="s">
        <v>460</v>
      </c>
      <c r="B286" s="1" t="s">
        <v>451</v>
      </c>
      <c r="C286" s="1" t="s">
        <v>2</v>
      </c>
      <c r="D286" s="8">
        <v>2390</v>
      </c>
      <c r="E286" s="1" t="s">
        <v>461</v>
      </c>
      <c r="F286" s="1" t="s">
        <v>28</v>
      </c>
      <c r="G286" s="1" t="s">
        <v>11</v>
      </c>
    </row>
    <row r="287" spans="1:7" x14ac:dyDescent="0.3">
      <c r="A287" s="1" t="s">
        <v>462</v>
      </c>
      <c r="B287" s="1" t="s">
        <v>451</v>
      </c>
      <c r="C287" s="1" t="s">
        <v>2</v>
      </c>
      <c r="D287" s="109">
        <v>3756.3025210084033</v>
      </c>
      <c r="E287" s="1" t="s">
        <v>463</v>
      </c>
      <c r="F287" s="1" t="s">
        <v>11</v>
      </c>
      <c r="G287" s="1" t="s">
        <v>11</v>
      </c>
    </row>
    <row r="288" spans="1:7" x14ac:dyDescent="0.3">
      <c r="A288" s="11" t="s">
        <v>464</v>
      </c>
      <c r="B288" s="1" t="s">
        <v>451</v>
      </c>
      <c r="C288" s="1" t="s">
        <v>2</v>
      </c>
      <c r="D288" s="8">
        <v>31000</v>
      </c>
      <c r="E288" s="1" t="s">
        <v>465</v>
      </c>
      <c r="F288" s="1" t="s">
        <v>28</v>
      </c>
      <c r="G288" s="1" t="s">
        <v>11</v>
      </c>
    </row>
    <row r="289" spans="1:7" x14ac:dyDescent="0.3">
      <c r="A289" s="1" t="s">
        <v>466</v>
      </c>
      <c r="B289" s="1" t="s">
        <v>451</v>
      </c>
      <c r="C289" s="1" t="s">
        <v>2</v>
      </c>
      <c r="D289" s="8">
        <v>1090</v>
      </c>
      <c r="E289" s="1" t="s">
        <v>455</v>
      </c>
      <c r="F289" s="1" t="s">
        <v>28</v>
      </c>
      <c r="G289" s="1" t="s">
        <v>11</v>
      </c>
    </row>
    <row r="290" spans="1:7" x14ac:dyDescent="0.3">
      <c r="A290" s="1" t="s">
        <v>467</v>
      </c>
      <c r="B290" s="1" t="s">
        <v>451</v>
      </c>
      <c r="C290" s="1" t="s">
        <v>2</v>
      </c>
      <c r="D290" s="8">
        <v>1263</v>
      </c>
      <c r="E290" s="1" t="s">
        <v>459</v>
      </c>
      <c r="F290" s="1" t="s">
        <v>28</v>
      </c>
      <c r="G290" s="1" t="s">
        <v>11</v>
      </c>
    </row>
    <row r="291" spans="1:7" x14ac:dyDescent="0.3">
      <c r="A291" s="1" t="s">
        <v>468</v>
      </c>
      <c r="B291" s="1" t="s">
        <v>451</v>
      </c>
      <c r="C291" s="1" t="s">
        <v>2</v>
      </c>
      <c r="D291" s="8">
        <v>3300</v>
      </c>
      <c r="E291" s="1" t="s">
        <v>359</v>
      </c>
      <c r="F291" s="1" t="s">
        <v>28</v>
      </c>
      <c r="G291" s="1" t="s">
        <v>11</v>
      </c>
    </row>
    <row r="292" spans="1:7" x14ac:dyDescent="0.3">
      <c r="A292" s="1" t="s">
        <v>469</v>
      </c>
      <c r="B292" s="1" t="s">
        <v>451</v>
      </c>
      <c r="C292" s="1" t="s">
        <v>2</v>
      </c>
      <c r="D292" s="8">
        <v>1200</v>
      </c>
      <c r="E292" s="1" t="s">
        <v>85</v>
      </c>
      <c r="F292" s="1" t="s">
        <v>28</v>
      </c>
      <c r="G292" s="1" t="s">
        <v>11</v>
      </c>
    </row>
    <row r="293" spans="1:7" x14ac:dyDescent="0.3">
      <c r="A293" s="1" t="s">
        <v>470</v>
      </c>
      <c r="B293" s="1" t="s">
        <v>451</v>
      </c>
      <c r="C293" s="1" t="s">
        <v>2</v>
      </c>
      <c r="D293" s="102">
        <v>2000</v>
      </c>
      <c r="E293" s="1" t="s">
        <v>471</v>
      </c>
      <c r="F293" s="1" t="s">
        <v>28</v>
      </c>
      <c r="G293" s="1" t="s">
        <v>11</v>
      </c>
    </row>
    <row r="294" spans="1:7" x14ac:dyDescent="0.3">
      <c r="A294" s="1" t="s">
        <v>472</v>
      </c>
      <c r="B294" s="1" t="s">
        <v>451</v>
      </c>
      <c r="C294" s="1" t="s">
        <v>2</v>
      </c>
      <c r="D294" s="102">
        <v>2400</v>
      </c>
      <c r="E294" s="1" t="s">
        <v>471</v>
      </c>
      <c r="F294" s="1" t="s">
        <v>28</v>
      </c>
      <c r="G294" s="1" t="s">
        <v>11</v>
      </c>
    </row>
    <row r="295" spans="1:7" x14ac:dyDescent="0.3">
      <c r="A295" s="1" t="s">
        <v>473</v>
      </c>
      <c r="B295" s="1" t="s">
        <v>451</v>
      </c>
      <c r="C295" s="1" t="s">
        <v>2</v>
      </c>
      <c r="D295" s="8">
        <v>1000</v>
      </c>
      <c r="E295" s="1" t="s">
        <v>85</v>
      </c>
      <c r="F295" s="1" t="s">
        <v>28</v>
      </c>
      <c r="G295" s="1" t="s">
        <v>11</v>
      </c>
    </row>
    <row r="296" spans="1:7" x14ac:dyDescent="0.3">
      <c r="A296" s="1" t="s">
        <v>474</v>
      </c>
      <c r="B296" s="1" t="s">
        <v>451</v>
      </c>
      <c r="C296" s="1" t="s">
        <v>2</v>
      </c>
      <c r="D296" s="102">
        <v>1100</v>
      </c>
      <c r="E296" s="1" t="s">
        <v>471</v>
      </c>
      <c r="F296" s="1" t="s">
        <v>28</v>
      </c>
      <c r="G296" s="1" t="s">
        <v>11</v>
      </c>
    </row>
    <row r="297" spans="1:7" x14ac:dyDescent="0.3">
      <c r="A297" s="1" t="s">
        <v>475</v>
      </c>
      <c r="B297" s="1" t="s">
        <v>451</v>
      </c>
      <c r="C297" s="1" t="s">
        <v>2</v>
      </c>
      <c r="D297" s="102">
        <v>3000</v>
      </c>
      <c r="E297" s="1" t="s">
        <v>471</v>
      </c>
      <c r="F297" s="1" t="s">
        <v>28</v>
      </c>
      <c r="G297" s="1" t="s">
        <v>11</v>
      </c>
    </row>
    <row r="298" spans="1:7" x14ac:dyDescent="0.3">
      <c r="A298" s="1" t="s">
        <v>476</v>
      </c>
      <c r="B298" s="1" t="s">
        <v>451</v>
      </c>
      <c r="C298" s="1" t="s">
        <v>2</v>
      </c>
      <c r="D298" s="8">
        <v>7990</v>
      </c>
      <c r="E298" s="1" t="s">
        <v>477</v>
      </c>
      <c r="F298" s="1" t="s">
        <v>28</v>
      </c>
      <c r="G298" s="1" t="s">
        <v>11</v>
      </c>
    </row>
    <row r="299" spans="1:7" x14ac:dyDescent="0.3">
      <c r="A299" s="1" t="s">
        <v>478</v>
      </c>
      <c r="B299" s="1" t="s">
        <v>451</v>
      </c>
      <c r="C299" s="1" t="s">
        <v>2</v>
      </c>
      <c r="D299" s="8">
        <f>25308/1.19</f>
        <v>21267.226890756305</v>
      </c>
      <c r="E299" s="1" t="s">
        <v>323</v>
      </c>
      <c r="F299" s="1" t="s">
        <v>28</v>
      </c>
      <c r="G299" s="1" t="s">
        <v>28</v>
      </c>
    </row>
    <row r="300" spans="1:7" x14ac:dyDescent="0.3">
      <c r="A300" s="1" t="s">
        <v>479</v>
      </c>
      <c r="B300" s="1" t="s">
        <v>451</v>
      </c>
      <c r="C300" s="1" t="s">
        <v>2</v>
      </c>
      <c r="D300" s="8">
        <v>2359</v>
      </c>
      <c r="E300" s="1" t="s">
        <v>459</v>
      </c>
      <c r="F300" s="1" t="s">
        <v>28</v>
      </c>
      <c r="G300" s="1" t="s">
        <v>11</v>
      </c>
    </row>
    <row r="301" spans="1:7" x14ac:dyDescent="0.3">
      <c r="A301" s="1" t="s">
        <v>480</v>
      </c>
      <c r="B301" s="1" t="s">
        <v>451</v>
      </c>
      <c r="C301" s="1" t="s">
        <v>2</v>
      </c>
      <c r="D301" s="8">
        <v>130000</v>
      </c>
      <c r="E301" s="1" t="s">
        <v>104</v>
      </c>
      <c r="F301" s="1" t="s">
        <v>28</v>
      </c>
      <c r="G301" s="1" t="s">
        <v>11</v>
      </c>
    </row>
    <row r="302" spans="1:7" x14ac:dyDescent="0.3">
      <c r="A302" s="1" t="s">
        <v>872</v>
      </c>
      <c r="B302" s="1" t="s">
        <v>451</v>
      </c>
      <c r="C302" s="1" t="s">
        <v>2</v>
      </c>
      <c r="D302" s="8">
        <v>40000</v>
      </c>
      <c r="E302" s="1" t="s">
        <v>873</v>
      </c>
      <c r="F302" s="1" t="s">
        <v>11</v>
      </c>
      <c r="G302" s="1" t="s">
        <v>11</v>
      </c>
    </row>
    <row r="303" spans="1:7" x14ac:dyDescent="0.3">
      <c r="A303" s="1" t="s">
        <v>481</v>
      </c>
      <c r="B303" s="1" t="s">
        <v>451</v>
      </c>
      <c r="C303" s="1" t="s">
        <v>2</v>
      </c>
      <c r="D303" s="8">
        <f>490/1.19</f>
        <v>411.76470588235298</v>
      </c>
      <c r="E303" s="1" t="s">
        <v>323</v>
      </c>
      <c r="F303" s="1" t="s">
        <v>28</v>
      </c>
      <c r="G303" s="1" t="s">
        <v>28</v>
      </c>
    </row>
    <row r="304" spans="1:7" x14ac:dyDescent="0.3">
      <c r="A304" s="1" t="s">
        <v>482</v>
      </c>
      <c r="B304" s="1" t="s">
        <v>451</v>
      </c>
      <c r="C304" s="1" t="s">
        <v>2</v>
      </c>
      <c r="D304" s="8">
        <v>2765</v>
      </c>
      <c r="E304" s="1" t="s">
        <v>85</v>
      </c>
      <c r="F304" s="1" t="s">
        <v>28</v>
      </c>
      <c r="G304" s="1" t="s">
        <v>11</v>
      </c>
    </row>
    <row r="305" spans="1:7" x14ac:dyDescent="0.3">
      <c r="A305" s="1" t="s">
        <v>483</v>
      </c>
      <c r="B305" s="1" t="s">
        <v>451</v>
      </c>
      <c r="C305" s="1" t="s">
        <v>2</v>
      </c>
      <c r="D305" s="102">
        <f>7500/1.19</f>
        <v>6302.5210084033615</v>
      </c>
      <c r="E305" s="1" t="s">
        <v>96</v>
      </c>
      <c r="F305" s="1" t="s">
        <v>28</v>
      </c>
      <c r="G305" s="1" t="s">
        <v>11</v>
      </c>
    </row>
    <row r="306" spans="1:7" x14ac:dyDescent="0.3">
      <c r="A306" s="1" t="s">
        <v>484</v>
      </c>
      <c r="B306" s="1" t="s">
        <v>451</v>
      </c>
      <c r="C306" s="1" t="s">
        <v>2</v>
      </c>
      <c r="D306" s="8">
        <v>210</v>
      </c>
      <c r="E306" s="1" t="s">
        <v>485</v>
      </c>
      <c r="F306" s="1" t="s">
        <v>28</v>
      </c>
      <c r="G306" s="1" t="s">
        <v>11</v>
      </c>
    </row>
    <row r="307" spans="1:7" x14ac:dyDescent="0.3">
      <c r="A307" s="1" t="s">
        <v>486</v>
      </c>
      <c r="B307" s="1" t="s">
        <v>451</v>
      </c>
      <c r="C307" s="1" t="s">
        <v>2</v>
      </c>
      <c r="D307" s="8">
        <v>210</v>
      </c>
      <c r="E307" s="1" t="s">
        <v>485</v>
      </c>
      <c r="F307" s="1" t="s">
        <v>28</v>
      </c>
      <c r="G307" s="1" t="s">
        <v>11</v>
      </c>
    </row>
    <row r="308" spans="1:7" x14ac:dyDescent="0.3">
      <c r="A308" s="1" t="s">
        <v>487</v>
      </c>
      <c r="B308" s="1" t="s">
        <v>451</v>
      </c>
      <c r="C308" s="1" t="s">
        <v>2</v>
      </c>
      <c r="D308" s="8">
        <f>7390/1.19</f>
        <v>6210.0840336134461</v>
      </c>
      <c r="E308" s="1" t="s">
        <v>488</v>
      </c>
      <c r="F308" s="1" t="s">
        <v>11</v>
      </c>
      <c r="G308" s="1" t="s">
        <v>11</v>
      </c>
    </row>
    <row r="309" spans="1:7" x14ac:dyDescent="0.3">
      <c r="A309" s="1" t="s">
        <v>489</v>
      </c>
      <c r="B309" s="1" t="s">
        <v>451</v>
      </c>
      <c r="C309" s="1" t="s">
        <v>2</v>
      </c>
      <c r="D309" s="8">
        <v>13137</v>
      </c>
      <c r="E309" s="1" t="s">
        <v>459</v>
      </c>
      <c r="F309" s="1" t="s">
        <v>28</v>
      </c>
      <c r="G309" s="1" t="s">
        <v>11</v>
      </c>
    </row>
    <row r="310" spans="1:7" x14ac:dyDescent="0.3">
      <c r="A310" s="1" t="s">
        <v>490</v>
      </c>
      <c r="B310" s="1" t="s">
        <v>451</v>
      </c>
      <c r="C310" s="1" t="s">
        <v>2</v>
      </c>
      <c r="D310" s="8">
        <v>19400</v>
      </c>
      <c r="E310" s="1" t="s">
        <v>85</v>
      </c>
      <c r="F310" s="1" t="s">
        <v>28</v>
      </c>
      <c r="G310" s="1" t="s">
        <v>11</v>
      </c>
    </row>
    <row r="311" spans="1:7" x14ac:dyDescent="0.3">
      <c r="A311" s="1" t="s">
        <v>491</v>
      </c>
      <c r="B311" s="1" t="s">
        <v>451</v>
      </c>
      <c r="C311" s="1" t="s">
        <v>2</v>
      </c>
      <c r="D311" s="8">
        <f>39990/1.19</f>
        <v>33605.042016806721</v>
      </c>
      <c r="E311" s="1" t="s">
        <v>492</v>
      </c>
      <c r="F311" s="1" t="s">
        <v>28</v>
      </c>
      <c r="G311" s="1" t="s">
        <v>11</v>
      </c>
    </row>
    <row r="312" spans="1:7" x14ac:dyDescent="0.3">
      <c r="A312" s="1" t="s">
        <v>493</v>
      </c>
      <c r="B312" s="1" t="s">
        <v>451</v>
      </c>
      <c r="C312" s="1" t="s">
        <v>2</v>
      </c>
      <c r="D312" s="8">
        <f>21990/1.19</f>
        <v>18478.991596638658</v>
      </c>
      <c r="E312" s="1" t="s">
        <v>457</v>
      </c>
      <c r="F312" s="1" t="s">
        <v>11</v>
      </c>
      <c r="G312" s="1" t="s">
        <v>11</v>
      </c>
    </row>
    <row r="313" spans="1:7" x14ac:dyDescent="0.3">
      <c r="A313" s="1" t="s">
        <v>494</v>
      </c>
      <c r="B313" s="1" t="s">
        <v>451</v>
      </c>
      <c r="C313" s="1" t="s">
        <v>2</v>
      </c>
      <c r="D313" s="8">
        <v>6300</v>
      </c>
      <c r="E313" s="1" t="s">
        <v>459</v>
      </c>
      <c r="F313" s="1" t="s">
        <v>28</v>
      </c>
      <c r="G313" s="1" t="s">
        <v>11</v>
      </c>
    </row>
    <row r="314" spans="1:7" x14ac:dyDescent="0.3">
      <c r="A314" s="1" t="s">
        <v>495</v>
      </c>
      <c r="B314" s="1" t="s">
        <v>451</v>
      </c>
      <c r="C314" s="1" t="s">
        <v>2</v>
      </c>
      <c r="D314" s="8">
        <v>1200</v>
      </c>
      <c r="E314" s="1" t="s">
        <v>359</v>
      </c>
      <c r="F314" s="1" t="s">
        <v>28</v>
      </c>
      <c r="G314" s="1" t="s">
        <v>11</v>
      </c>
    </row>
    <row r="315" spans="1:7" x14ac:dyDescent="0.3">
      <c r="A315" s="1" t="s">
        <v>496</v>
      </c>
      <c r="B315" s="1" t="s">
        <v>451</v>
      </c>
      <c r="C315" s="1" t="s">
        <v>2</v>
      </c>
      <c r="D315" s="8">
        <v>1518</v>
      </c>
      <c r="E315" s="1" t="s">
        <v>459</v>
      </c>
      <c r="F315" s="1" t="s">
        <v>28</v>
      </c>
      <c r="G315" s="1" t="s">
        <v>11</v>
      </c>
    </row>
    <row r="316" spans="1:7" x14ac:dyDescent="0.3">
      <c r="A316" s="1" t="s">
        <v>497</v>
      </c>
      <c r="B316" s="1" t="s">
        <v>451</v>
      </c>
      <c r="C316" s="1" t="s">
        <v>2</v>
      </c>
      <c r="D316" s="8">
        <f>19670/1.19</f>
        <v>16529.411764705885</v>
      </c>
      <c r="E316" s="1" t="s">
        <v>457</v>
      </c>
      <c r="F316" s="1" t="s">
        <v>11</v>
      </c>
      <c r="G316" s="1" t="s">
        <v>11</v>
      </c>
    </row>
    <row r="317" spans="1:7" x14ac:dyDescent="0.3">
      <c r="A317" s="1" t="s">
        <v>498</v>
      </c>
      <c r="B317" s="1" t="s">
        <v>451</v>
      </c>
      <c r="C317" s="1" t="s">
        <v>2</v>
      </c>
      <c r="D317" s="8">
        <v>8951</v>
      </c>
      <c r="E317" s="1" t="s">
        <v>459</v>
      </c>
      <c r="F317" s="1" t="s">
        <v>28</v>
      </c>
      <c r="G317" s="1" t="s">
        <v>11</v>
      </c>
    </row>
    <row r="318" spans="1:7" x14ac:dyDescent="0.3">
      <c r="A318" s="1" t="s">
        <v>499</v>
      </c>
      <c r="B318" s="1" t="s">
        <v>451</v>
      </c>
      <c r="C318" s="1" t="s">
        <v>305</v>
      </c>
      <c r="D318" s="8">
        <v>18000</v>
      </c>
      <c r="E318" s="1" t="s">
        <v>85</v>
      </c>
      <c r="F318" s="1" t="s">
        <v>28</v>
      </c>
      <c r="G318" s="1" t="s">
        <v>11</v>
      </c>
    </row>
    <row r="319" spans="1:7" x14ac:dyDescent="0.3">
      <c r="A319" s="1" t="s">
        <v>500</v>
      </c>
      <c r="B319" s="1" t="s">
        <v>451</v>
      </c>
      <c r="C319" s="1" t="s">
        <v>2</v>
      </c>
      <c r="D319" s="8">
        <v>15118</v>
      </c>
      <c r="E319" s="1" t="s">
        <v>459</v>
      </c>
      <c r="F319" s="1" t="s">
        <v>28</v>
      </c>
      <c r="G319" s="1" t="s">
        <v>11</v>
      </c>
    </row>
    <row r="320" spans="1:7" x14ac:dyDescent="0.3">
      <c r="A320" s="1" t="s">
        <v>501</v>
      </c>
      <c r="B320" s="1" t="s">
        <v>451</v>
      </c>
      <c r="C320" s="1" t="s">
        <v>2</v>
      </c>
      <c r="D320" s="8">
        <v>11000</v>
      </c>
      <c r="E320" s="1" t="s">
        <v>36</v>
      </c>
      <c r="F320" s="1" t="s">
        <v>28</v>
      </c>
      <c r="G320" s="1" t="s">
        <v>11</v>
      </c>
    </row>
    <row r="321" spans="1:7" x14ac:dyDescent="0.3">
      <c r="A321" s="104" t="s">
        <v>502</v>
      </c>
      <c r="B321" s="1" t="s">
        <v>451</v>
      </c>
      <c r="C321" s="1" t="s">
        <v>2</v>
      </c>
      <c r="D321" s="8">
        <v>27000</v>
      </c>
      <c r="E321" s="1" t="s">
        <v>24</v>
      </c>
      <c r="F321" s="1" t="s">
        <v>28</v>
      </c>
      <c r="G321" s="1" t="s">
        <v>11</v>
      </c>
    </row>
    <row r="322" spans="1:7" x14ac:dyDescent="0.3">
      <c r="A322" s="104" t="s">
        <v>503</v>
      </c>
      <c r="B322" s="1" t="s">
        <v>451</v>
      </c>
      <c r="C322" s="1" t="s">
        <v>2</v>
      </c>
      <c r="D322" s="8">
        <v>27000</v>
      </c>
      <c r="E322" s="1" t="s">
        <v>24</v>
      </c>
      <c r="F322" s="1" t="s">
        <v>11</v>
      </c>
      <c r="G322" s="1" t="s">
        <v>11</v>
      </c>
    </row>
    <row r="323" spans="1:7" x14ac:dyDescent="0.3">
      <c r="A323" s="1" t="s">
        <v>504</v>
      </c>
      <c r="B323" s="1" t="s">
        <v>451</v>
      </c>
      <c r="C323" s="1" t="s">
        <v>2</v>
      </c>
      <c r="D323" s="8">
        <v>20100</v>
      </c>
      <c r="E323" s="1" t="s">
        <v>505</v>
      </c>
      <c r="F323" s="1" t="s">
        <v>28</v>
      </c>
      <c r="G323" s="1" t="s">
        <v>11</v>
      </c>
    </row>
    <row r="324" spans="1:7" x14ac:dyDescent="0.3">
      <c r="A324" s="1" t="s">
        <v>506</v>
      </c>
      <c r="B324" s="1" t="s">
        <v>451</v>
      </c>
      <c r="C324" s="1" t="s">
        <v>2</v>
      </c>
      <c r="D324" s="8">
        <f>8153/1.19</f>
        <v>6851.2605042016812</v>
      </c>
      <c r="E324" s="1" t="s">
        <v>457</v>
      </c>
      <c r="F324" s="1" t="s">
        <v>11</v>
      </c>
      <c r="G324" s="1" t="s">
        <v>11</v>
      </c>
    </row>
    <row r="325" spans="1:7" x14ac:dyDescent="0.3">
      <c r="A325" s="1" t="s">
        <v>507</v>
      </c>
      <c r="B325" s="1" t="s">
        <v>451</v>
      </c>
      <c r="C325" s="1" t="s">
        <v>2</v>
      </c>
      <c r="D325" s="8">
        <f>25290/1.19</f>
        <v>21252.100840336134</v>
      </c>
      <c r="E325" s="1" t="s">
        <v>488</v>
      </c>
      <c r="F325" s="1" t="s">
        <v>28</v>
      </c>
      <c r="G325" s="1" t="s">
        <v>11</v>
      </c>
    </row>
    <row r="326" spans="1:7" x14ac:dyDescent="0.3">
      <c r="A326" s="1" t="s">
        <v>508</v>
      </c>
      <c r="B326" s="1" t="s">
        <v>451</v>
      </c>
      <c r="C326" s="1" t="s">
        <v>2</v>
      </c>
      <c r="D326" s="102">
        <v>13200</v>
      </c>
      <c r="E326" s="1" t="s">
        <v>509</v>
      </c>
      <c r="F326" s="1" t="s">
        <v>11</v>
      </c>
      <c r="G326" s="1" t="s">
        <v>11</v>
      </c>
    </row>
    <row r="327" spans="1:7" x14ac:dyDescent="0.3">
      <c r="A327" s="1" t="s">
        <v>510</v>
      </c>
      <c r="B327" s="1" t="s">
        <v>451</v>
      </c>
      <c r="C327" s="1" t="s">
        <v>2</v>
      </c>
      <c r="D327" s="8">
        <f>15990/1.19</f>
        <v>13436.974789915967</v>
      </c>
      <c r="E327" s="1" t="s">
        <v>373</v>
      </c>
      <c r="F327" s="1" t="s">
        <v>28</v>
      </c>
      <c r="G327" s="1" t="s">
        <v>11</v>
      </c>
    </row>
    <row r="328" spans="1:7" x14ac:dyDescent="0.3">
      <c r="A328" s="1" t="s">
        <v>511</v>
      </c>
      <c r="B328" s="1" t="s">
        <v>451</v>
      </c>
      <c r="C328" s="1" t="s">
        <v>2</v>
      </c>
      <c r="D328" s="8">
        <f>28720/1.19</f>
        <v>24134.453781512606</v>
      </c>
      <c r="E328" s="1" t="s">
        <v>373</v>
      </c>
      <c r="F328" s="1" t="s">
        <v>28</v>
      </c>
      <c r="G328" s="1" t="s">
        <v>11</v>
      </c>
    </row>
    <row r="329" spans="1:7" x14ac:dyDescent="0.3">
      <c r="A329" s="1" t="s">
        <v>512</v>
      </c>
      <c r="B329" s="1" t="s">
        <v>451</v>
      </c>
      <c r="C329" s="1" t="s">
        <v>2</v>
      </c>
      <c r="D329" s="8">
        <f>15590/1.19</f>
        <v>13100.840336134454</v>
      </c>
      <c r="E329" s="1" t="s">
        <v>323</v>
      </c>
      <c r="F329" s="1" t="s">
        <v>28</v>
      </c>
      <c r="G329" s="1" t="s">
        <v>28</v>
      </c>
    </row>
    <row r="330" spans="1:7" x14ac:dyDescent="0.3">
      <c r="A330" s="1" t="s">
        <v>513</v>
      </c>
      <c r="B330" s="1" t="s">
        <v>451</v>
      </c>
      <c r="C330" s="1" t="s">
        <v>2</v>
      </c>
      <c r="D330" s="8">
        <f>19990/1.19</f>
        <v>16798.319327731093</v>
      </c>
      <c r="E330" s="1" t="s">
        <v>323</v>
      </c>
      <c r="F330" s="1" t="s">
        <v>28</v>
      </c>
      <c r="G330" s="1" t="s">
        <v>28</v>
      </c>
    </row>
    <row r="331" spans="1:7" x14ac:dyDescent="0.3">
      <c r="A331" s="1" t="s">
        <v>514</v>
      </c>
      <c r="B331" s="1" t="s">
        <v>451</v>
      </c>
      <c r="C331" s="1" t="s">
        <v>2</v>
      </c>
      <c r="D331" s="102">
        <v>24780</v>
      </c>
      <c r="E331" s="1" t="s">
        <v>509</v>
      </c>
      <c r="F331" s="1" t="s">
        <v>11</v>
      </c>
      <c r="G331" s="1" t="s">
        <v>11</v>
      </c>
    </row>
    <row r="332" spans="1:7" x14ac:dyDescent="0.3">
      <c r="A332" s="1" t="s">
        <v>515</v>
      </c>
      <c r="B332" s="1" t="s">
        <v>451</v>
      </c>
      <c r="C332" s="1" t="s">
        <v>2</v>
      </c>
      <c r="D332" s="102">
        <v>36338</v>
      </c>
      <c r="E332" s="1" t="s">
        <v>509</v>
      </c>
      <c r="F332" s="1" t="s">
        <v>11</v>
      </c>
      <c r="G332" s="1" t="s">
        <v>11</v>
      </c>
    </row>
    <row r="333" spans="1:7" x14ac:dyDescent="0.3">
      <c r="A333" s="1" t="s">
        <v>516</v>
      </c>
      <c r="B333" s="1" t="s">
        <v>451</v>
      </c>
      <c r="C333" s="1" t="s">
        <v>2</v>
      </c>
      <c r="D333" s="102">
        <f>15150/1.19</f>
        <v>12731.09243697479</v>
      </c>
      <c r="E333" s="1" t="s">
        <v>517</v>
      </c>
      <c r="F333" s="1" t="s">
        <v>28</v>
      </c>
      <c r="G333" s="1" t="s">
        <v>11</v>
      </c>
    </row>
    <row r="334" spans="1:7" x14ac:dyDescent="0.3">
      <c r="A334" s="1" t="s">
        <v>518</v>
      </c>
      <c r="B334" s="1" t="s">
        <v>451</v>
      </c>
      <c r="C334" s="1" t="s">
        <v>2</v>
      </c>
      <c r="D334" s="8">
        <f>11390/1.19</f>
        <v>9571.4285714285725</v>
      </c>
      <c r="E334" s="1" t="s">
        <v>323</v>
      </c>
      <c r="F334" s="1" t="s">
        <v>28</v>
      </c>
      <c r="G334" s="1" t="s">
        <v>28</v>
      </c>
    </row>
    <row r="335" spans="1:7" x14ac:dyDescent="0.3">
      <c r="A335" s="1" t="s">
        <v>519</v>
      </c>
      <c r="B335" s="1" t="s">
        <v>451</v>
      </c>
      <c r="C335" s="1" t="s">
        <v>2</v>
      </c>
      <c r="D335" s="8">
        <f>24190/1.19</f>
        <v>20327.731092436974</v>
      </c>
      <c r="E335" s="1" t="s">
        <v>323</v>
      </c>
      <c r="F335" s="1" t="s">
        <v>28</v>
      </c>
      <c r="G335" s="1" t="s">
        <v>28</v>
      </c>
    </row>
    <row r="336" spans="1:7" x14ac:dyDescent="0.3">
      <c r="A336" s="1" t="s">
        <v>520</v>
      </c>
      <c r="B336" s="1" t="s">
        <v>451</v>
      </c>
      <c r="C336" s="1" t="s">
        <v>2</v>
      </c>
      <c r="D336" s="102">
        <f>16090/1.19</f>
        <v>13521.008403361346</v>
      </c>
      <c r="E336" s="1" t="s">
        <v>96</v>
      </c>
      <c r="F336" s="1" t="s">
        <v>28</v>
      </c>
      <c r="G336" s="1" t="s">
        <v>11</v>
      </c>
    </row>
    <row r="337" spans="1:8" x14ac:dyDescent="0.3">
      <c r="A337" s="1" t="s">
        <v>521</v>
      </c>
      <c r="B337" s="1" t="s">
        <v>451</v>
      </c>
      <c r="C337" s="1" t="s">
        <v>2</v>
      </c>
      <c r="D337" s="8">
        <v>20431</v>
      </c>
      <c r="E337" s="1" t="s">
        <v>85</v>
      </c>
      <c r="F337" s="1" t="s">
        <v>28</v>
      </c>
      <c r="G337" s="1" t="s">
        <v>11</v>
      </c>
    </row>
    <row r="338" spans="1:8" x14ac:dyDescent="0.3">
      <c r="A338" s="1" t="s">
        <v>522</v>
      </c>
      <c r="B338" s="1" t="s">
        <v>451</v>
      </c>
      <c r="C338" s="1" t="s">
        <v>2</v>
      </c>
      <c r="D338" s="8">
        <f>1990/1.19</f>
        <v>1672.2689075630253</v>
      </c>
      <c r="E338" s="1" t="s">
        <v>323</v>
      </c>
      <c r="F338" s="1" t="s">
        <v>28</v>
      </c>
      <c r="G338" s="1" t="s">
        <v>28</v>
      </c>
    </row>
    <row r="339" spans="1:8" x14ac:dyDescent="0.3">
      <c r="A339" s="1" t="s">
        <v>523</v>
      </c>
      <c r="B339" s="1" t="s">
        <v>451</v>
      </c>
      <c r="C339" s="1" t="s">
        <v>2</v>
      </c>
      <c r="D339" s="102">
        <f>3190/1.19</f>
        <v>2680.6722689075632</v>
      </c>
      <c r="E339" s="1" t="s">
        <v>524</v>
      </c>
      <c r="F339" s="1" t="s">
        <v>28</v>
      </c>
      <c r="G339" s="1" t="s">
        <v>11</v>
      </c>
    </row>
    <row r="340" spans="1:8" x14ac:dyDescent="0.3">
      <c r="A340" s="1" t="s">
        <v>525</v>
      </c>
      <c r="B340" s="1" t="s">
        <v>451</v>
      </c>
      <c r="C340" s="1" t="s">
        <v>2</v>
      </c>
      <c r="D340" s="8">
        <f>23990/1.19</f>
        <v>20159.663865546219</v>
      </c>
      <c r="E340" s="1" t="s">
        <v>373</v>
      </c>
      <c r="F340" s="1" t="s">
        <v>28</v>
      </c>
      <c r="G340" s="1" t="s">
        <v>11</v>
      </c>
    </row>
    <row r="341" spans="1:8" x14ac:dyDescent="0.3">
      <c r="A341" s="1" t="s">
        <v>526</v>
      </c>
      <c r="B341" s="1" t="s">
        <v>451</v>
      </c>
      <c r="C341" s="1" t="s">
        <v>2</v>
      </c>
      <c r="D341" s="8">
        <f>14988/1.19</f>
        <v>12594.957983193279</v>
      </c>
      <c r="E341" s="1" t="s">
        <v>457</v>
      </c>
      <c r="F341" s="1" t="s">
        <v>11</v>
      </c>
      <c r="G341" s="1" t="s">
        <v>11</v>
      </c>
    </row>
    <row r="342" spans="1:8" x14ac:dyDescent="0.3">
      <c r="A342" s="1" t="s">
        <v>527</v>
      </c>
      <c r="B342" s="1" t="s">
        <v>451</v>
      </c>
      <c r="C342" s="1" t="s">
        <v>2</v>
      </c>
      <c r="D342" s="8">
        <v>7600</v>
      </c>
      <c r="E342" s="1" t="s">
        <v>85</v>
      </c>
      <c r="F342" s="1" t="s">
        <v>11</v>
      </c>
      <c r="G342" s="1" t="s">
        <v>11</v>
      </c>
    </row>
    <row r="343" spans="1:8" x14ac:dyDescent="0.3">
      <c r="A343" s="1" t="s">
        <v>528</v>
      </c>
      <c r="B343" s="1" t="s">
        <v>451</v>
      </c>
      <c r="C343" s="1" t="s">
        <v>2</v>
      </c>
      <c r="D343" s="8">
        <v>8191</v>
      </c>
      <c r="E343" s="1" t="s">
        <v>463</v>
      </c>
      <c r="F343" s="1" t="s">
        <v>11</v>
      </c>
      <c r="G343" s="1" t="s">
        <v>11</v>
      </c>
      <c r="H343" s="36"/>
    </row>
    <row r="344" spans="1:8" x14ac:dyDescent="0.3">
      <c r="A344" s="1" t="s">
        <v>529</v>
      </c>
      <c r="B344" s="1" t="s">
        <v>451</v>
      </c>
      <c r="C344" s="1" t="s">
        <v>2</v>
      </c>
      <c r="D344" s="8">
        <v>10000</v>
      </c>
      <c r="E344" s="1" t="s">
        <v>435</v>
      </c>
      <c r="F344" s="1" t="s">
        <v>11</v>
      </c>
      <c r="G344" s="1" t="s">
        <v>11</v>
      </c>
    </row>
    <row r="345" spans="1:8" x14ac:dyDescent="0.3">
      <c r="A345" s="1" t="s">
        <v>530</v>
      </c>
      <c r="B345" s="1" t="s">
        <v>451</v>
      </c>
      <c r="C345" s="1" t="s">
        <v>531</v>
      </c>
      <c r="D345" s="8">
        <v>10500</v>
      </c>
      <c r="E345" s="1" t="s">
        <v>532</v>
      </c>
      <c r="F345" s="1" t="s">
        <v>28</v>
      </c>
      <c r="G345" s="1" t="s">
        <v>11</v>
      </c>
    </row>
    <row r="346" spans="1:8" x14ac:dyDescent="0.3">
      <c r="A346" s="1" t="s">
        <v>533</v>
      </c>
      <c r="B346" s="1" t="s">
        <v>451</v>
      </c>
      <c r="C346" s="1" t="s">
        <v>2</v>
      </c>
      <c r="D346" s="8">
        <v>5450</v>
      </c>
      <c r="E346" s="1" t="s">
        <v>85</v>
      </c>
      <c r="F346" s="1" t="s">
        <v>28</v>
      </c>
      <c r="G346" s="1" t="s">
        <v>11</v>
      </c>
    </row>
    <row r="347" spans="1:8" x14ac:dyDescent="0.3">
      <c r="A347" s="1" t="s">
        <v>534</v>
      </c>
      <c r="B347" s="1" t="s">
        <v>451</v>
      </c>
      <c r="C347" s="1" t="s">
        <v>2</v>
      </c>
      <c r="D347" s="102">
        <v>2690</v>
      </c>
      <c r="E347" s="1" t="s">
        <v>85</v>
      </c>
      <c r="F347" s="1" t="s">
        <v>28</v>
      </c>
      <c r="G347" s="1" t="s">
        <v>11</v>
      </c>
    </row>
    <row r="348" spans="1:8" x14ac:dyDescent="0.3">
      <c r="A348" s="33" t="s">
        <v>535</v>
      </c>
      <c r="B348" s="1" t="s">
        <v>451</v>
      </c>
      <c r="C348" s="1" t="s">
        <v>2</v>
      </c>
      <c r="D348" s="8">
        <v>3000</v>
      </c>
      <c r="E348" s="1" t="s">
        <v>85</v>
      </c>
      <c r="F348" s="1" t="s">
        <v>28</v>
      </c>
      <c r="G348" s="1" t="s">
        <v>11</v>
      </c>
    </row>
    <row r="349" spans="1:8" x14ac:dyDescent="0.3">
      <c r="A349" s="33" t="s">
        <v>536</v>
      </c>
      <c r="B349" s="1" t="s">
        <v>451</v>
      </c>
      <c r="C349" s="1" t="s">
        <v>2</v>
      </c>
      <c r="D349" s="102">
        <v>2690</v>
      </c>
      <c r="E349" s="1" t="s">
        <v>537</v>
      </c>
      <c r="F349" s="1" t="s">
        <v>28</v>
      </c>
      <c r="G349" s="1" t="s">
        <v>11</v>
      </c>
    </row>
    <row r="350" spans="1:8" x14ac:dyDescent="0.3">
      <c r="A350" s="33" t="s">
        <v>538</v>
      </c>
      <c r="B350" s="1" t="s">
        <v>451</v>
      </c>
      <c r="C350" s="1" t="s">
        <v>2</v>
      </c>
      <c r="D350" s="8">
        <f>23990/1.19</f>
        <v>20159.663865546219</v>
      </c>
      <c r="E350" s="1" t="s">
        <v>539</v>
      </c>
      <c r="F350" s="1" t="s">
        <v>28</v>
      </c>
      <c r="G350" s="1" t="s">
        <v>11</v>
      </c>
    </row>
    <row r="351" spans="1:8" x14ac:dyDescent="0.3">
      <c r="A351" s="33" t="s">
        <v>540</v>
      </c>
      <c r="B351" s="1" t="s">
        <v>451</v>
      </c>
      <c r="C351" s="1" t="s">
        <v>2</v>
      </c>
      <c r="D351" s="8">
        <f>27290/1.19</f>
        <v>22932.773109243699</v>
      </c>
      <c r="E351" s="1" t="s">
        <v>541</v>
      </c>
      <c r="F351" s="1" t="s">
        <v>28</v>
      </c>
      <c r="G351" s="1" t="s">
        <v>11</v>
      </c>
    </row>
    <row r="352" spans="1:8" x14ac:dyDescent="0.3">
      <c r="A352" s="33" t="s">
        <v>542</v>
      </c>
      <c r="B352" s="1" t="s">
        <v>451</v>
      </c>
      <c r="C352" s="1" t="s">
        <v>2</v>
      </c>
      <c r="D352" s="8">
        <v>50000</v>
      </c>
      <c r="E352" s="1" t="s">
        <v>85</v>
      </c>
      <c r="F352" s="1" t="s">
        <v>28</v>
      </c>
      <c r="G352" s="1" t="s">
        <v>11</v>
      </c>
    </row>
    <row r="353" spans="1:8" x14ac:dyDescent="0.3">
      <c r="A353" s="33" t="s">
        <v>543</v>
      </c>
      <c r="B353" s="1" t="s">
        <v>451</v>
      </c>
      <c r="C353" s="1" t="s">
        <v>2</v>
      </c>
      <c r="D353" s="8">
        <f>2990/1.19</f>
        <v>2512.6050420168067</v>
      </c>
      <c r="E353" s="1" t="s">
        <v>323</v>
      </c>
      <c r="F353" s="1" t="s">
        <v>28</v>
      </c>
      <c r="G353" s="1" t="s">
        <v>28</v>
      </c>
    </row>
    <row r="354" spans="1:8" x14ac:dyDescent="0.3">
      <c r="A354" s="9" t="s">
        <v>544</v>
      </c>
      <c r="B354" s="1" t="s">
        <v>451</v>
      </c>
      <c r="C354" s="1" t="s">
        <v>2</v>
      </c>
      <c r="D354" s="8">
        <f>9990/1.19</f>
        <v>8394.957983193277</v>
      </c>
      <c r="E354" s="1" t="s">
        <v>545</v>
      </c>
      <c r="F354" s="1" t="s">
        <v>28</v>
      </c>
      <c r="G354" s="1" t="s">
        <v>11</v>
      </c>
    </row>
    <row r="355" spans="1:8" x14ac:dyDescent="0.3">
      <c r="A355" s="9" t="s">
        <v>546</v>
      </c>
      <c r="B355" s="1" t="s">
        <v>451</v>
      </c>
      <c r="C355" s="1" t="s">
        <v>2</v>
      </c>
      <c r="D355" s="8">
        <v>5151</v>
      </c>
      <c r="E355" s="1" t="s">
        <v>85</v>
      </c>
      <c r="F355" s="1" t="s">
        <v>28</v>
      </c>
      <c r="G355" s="1" t="s">
        <v>11</v>
      </c>
    </row>
    <row r="356" spans="1:8" x14ac:dyDescent="0.3">
      <c r="A356" s="9" t="s">
        <v>547</v>
      </c>
      <c r="B356" s="1" t="s">
        <v>451</v>
      </c>
      <c r="C356" s="1" t="s">
        <v>2</v>
      </c>
      <c r="D356" s="8">
        <v>5151</v>
      </c>
      <c r="E356" s="1" t="s">
        <v>85</v>
      </c>
      <c r="F356" s="1" t="s">
        <v>11</v>
      </c>
      <c r="G356" s="1" t="s">
        <v>11</v>
      </c>
    </row>
    <row r="357" spans="1:8" x14ac:dyDescent="0.3">
      <c r="A357" s="9" t="s">
        <v>548</v>
      </c>
      <c r="B357" s="1" t="s">
        <v>451</v>
      </c>
      <c r="C357" s="1" t="s">
        <v>2</v>
      </c>
      <c r="D357" s="8">
        <v>7600</v>
      </c>
      <c r="E357" s="1" t="s">
        <v>142</v>
      </c>
      <c r="F357" s="1" t="s">
        <v>11</v>
      </c>
      <c r="G357" s="1" t="s">
        <v>11</v>
      </c>
    </row>
    <row r="358" spans="1:8" x14ac:dyDescent="0.3">
      <c r="A358" s="9" t="s">
        <v>549</v>
      </c>
      <c r="B358" s="1" t="s">
        <v>451</v>
      </c>
      <c r="C358" s="1" t="s">
        <v>2</v>
      </c>
      <c r="D358" s="8">
        <f>11590/1.19</f>
        <v>9739.495798319329</v>
      </c>
      <c r="E358" s="1" t="s">
        <v>550</v>
      </c>
      <c r="F358" s="1" t="s">
        <v>28</v>
      </c>
      <c r="G358" s="1" t="s">
        <v>11</v>
      </c>
    </row>
    <row r="359" spans="1:8" x14ac:dyDescent="0.3">
      <c r="A359" s="9" t="s">
        <v>551</v>
      </c>
      <c r="B359" s="1" t="s">
        <v>451</v>
      </c>
      <c r="C359" s="1" t="s">
        <v>2</v>
      </c>
      <c r="D359" s="8">
        <v>11336</v>
      </c>
      <c r="E359" s="1" t="s">
        <v>85</v>
      </c>
      <c r="F359" s="1" t="s">
        <v>11</v>
      </c>
      <c r="G359" s="1" t="s">
        <v>11</v>
      </c>
    </row>
    <row r="360" spans="1:8" x14ac:dyDescent="0.3">
      <c r="A360" s="1" t="s">
        <v>552</v>
      </c>
      <c r="B360" s="1" t="s">
        <v>451</v>
      </c>
      <c r="C360" s="1" t="s">
        <v>2</v>
      </c>
      <c r="D360" s="8">
        <v>1500</v>
      </c>
      <c r="E360" s="1" t="s">
        <v>435</v>
      </c>
      <c r="F360" s="1" t="s">
        <v>28</v>
      </c>
      <c r="G360" s="1" t="s">
        <v>11</v>
      </c>
    </row>
    <row r="361" spans="1:8" x14ac:dyDescent="0.3">
      <c r="A361" s="1" t="s">
        <v>553</v>
      </c>
      <c r="B361" s="1" t="s">
        <v>451</v>
      </c>
      <c r="C361" s="1" t="s">
        <v>2</v>
      </c>
      <c r="D361" s="8">
        <v>6222</v>
      </c>
      <c r="E361" s="1" t="s">
        <v>85</v>
      </c>
      <c r="F361" s="1" t="s">
        <v>28</v>
      </c>
      <c r="G361" s="1" t="s">
        <v>11</v>
      </c>
    </row>
    <row r="362" spans="1:8" x14ac:dyDescent="0.3">
      <c r="A362" s="1" t="s">
        <v>554</v>
      </c>
      <c r="B362" s="1" t="s">
        <v>451</v>
      </c>
      <c r="C362" s="1" t="s">
        <v>2</v>
      </c>
      <c r="D362" s="8">
        <v>1200</v>
      </c>
      <c r="E362" s="1" t="s">
        <v>555</v>
      </c>
      <c r="F362" s="1" t="s">
        <v>28</v>
      </c>
      <c r="G362" s="1" t="s">
        <v>11</v>
      </c>
    </row>
    <row r="363" spans="1:8" x14ac:dyDescent="0.3">
      <c r="A363" s="1" t="s">
        <v>556</v>
      </c>
      <c r="B363" s="1" t="s">
        <v>451</v>
      </c>
      <c r="C363" s="1" t="s">
        <v>2</v>
      </c>
      <c r="D363" s="8">
        <v>3990</v>
      </c>
      <c r="E363" s="1" t="s">
        <v>461</v>
      </c>
      <c r="F363" s="1" t="s">
        <v>11</v>
      </c>
      <c r="G363" s="1" t="s">
        <v>11</v>
      </c>
    </row>
    <row r="364" spans="1:8" x14ac:dyDescent="0.3">
      <c r="A364" s="104" t="s">
        <v>557</v>
      </c>
      <c r="B364" s="1" t="s">
        <v>558</v>
      </c>
      <c r="C364" s="1" t="s">
        <v>2</v>
      </c>
      <c r="D364" s="8">
        <v>2000</v>
      </c>
      <c r="E364" s="1" t="s">
        <v>24</v>
      </c>
      <c r="F364" s="1" t="s">
        <v>28</v>
      </c>
      <c r="G364" s="1" t="s">
        <v>11</v>
      </c>
    </row>
    <row r="365" spans="1:8" x14ac:dyDescent="0.3">
      <c r="A365" s="104" t="s">
        <v>559</v>
      </c>
      <c r="B365" s="1" t="s">
        <v>558</v>
      </c>
      <c r="C365" s="1" t="s">
        <v>2</v>
      </c>
      <c r="D365" s="8">
        <v>1200</v>
      </c>
      <c r="E365" s="1" t="s">
        <v>24</v>
      </c>
      <c r="F365" s="1" t="s">
        <v>11</v>
      </c>
      <c r="G365" s="1" t="s">
        <v>11</v>
      </c>
    </row>
    <row r="366" spans="1:8" x14ac:dyDescent="0.3">
      <c r="A366" s="148" t="s">
        <v>560</v>
      </c>
      <c r="B366" s="1" t="s">
        <v>558</v>
      </c>
      <c r="C366" s="1" t="s">
        <v>43</v>
      </c>
      <c r="D366" s="8">
        <v>40000</v>
      </c>
      <c r="E366" s="1" t="s">
        <v>303</v>
      </c>
      <c r="F366" s="1" t="s">
        <v>11</v>
      </c>
      <c r="G366" s="1" t="s">
        <v>11</v>
      </c>
    </row>
    <row r="367" spans="1:8" x14ac:dyDescent="0.3">
      <c r="A367" s="104" t="s">
        <v>561</v>
      </c>
      <c r="B367" s="1" t="s">
        <v>558</v>
      </c>
      <c r="C367" s="1" t="s">
        <v>2</v>
      </c>
      <c r="D367" s="8">
        <v>112600</v>
      </c>
      <c r="E367" s="1" t="s">
        <v>24</v>
      </c>
      <c r="F367" s="1" t="s">
        <v>11</v>
      </c>
      <c r="G367" s="1" t="s">
        <v>11</v>
      </c>
    </row>
    <row r="368" spans="1:8" x14ac:dyDescent="0.3">
      <c r="A368" s="1" t="s">
        <v>562</v>
      </c>
      <c r="B368" s="1" t="s">
        <v>563</v>
      </c>
      <c r="C368" s="1" t="s">
        <v>2</v>
      </c>
      <c r="D368" s="8">
        <v>960000</v>
      </c>
      <c r="E368" s="1" t="s">
        <v>564</v>
      </c>
      <c r="F368" s="1" t="s">
        <v>11</v>
      </c>
      <c r="G368" s="1" t="s">
        <v>28</v>
      </c>
      <c r="H368" s="36"/>
    </row>
    <row r="369" spans="1:8" x14ac:dyDescent="0.3">
      <c r="A369" s="11" t="s">
        <v>855</v>
      </c>
      <c r="B369" s="1" t="s">
        <v>563</v>
      </c>
      <c r="C369" s="1" t="s">
        <v>2</v>
      </c>
      <c r="D369" s="8">
        <v>2270000</v>
      </c>
      <c r="E369" s="1" t="s">
        <v>564</v>
      </c>
      <c r="F369" s="1" t="s">
        <v>11</v>
      </c>
      <c r="G369" s="1" t="s">
        <v>28</v>
      </c>
      <c r="H369" s="36"/>
    </row>
    <row r="370" spans="1:8" x14ac:dyDescent="0.3">
      <c r="A370" s="1" t="s">
        <v>565</v>
      </c>
      <c r="B370" s="1" t="s">
        <v>566</v>
      </c>
      <c r="C370" s="1" t="s">
        <v>2</v>
      </c>
      <c r="D370" s="8">
        <v>5900</v>
      </c>
      <c r="E370" s="1" t="s">
        <v>359</v>
      </c>
      <c r="F370" s="1" t="s">
        <v>28</v>
      </c>
      <c r="G370" s="1" t="s">
        <v>11</v>
      </c>
    </row>
    <row r="371" spans="1:8" x14ac:dyDescent="0.3">
      <c r="A371" s="1" t="s">
        <v>567</v>
      </c>
      <c r="B371" s="1" t="s">
        <v>566</v>
      </c>
      <c r="C371" s="1" t="s">
        <v>2</v>
      </c>
      <c r="D371" s="8">
        <v>15200</v>
      </c>
      <c r="E371" s="1" t="s">
        <v>359</v>
      </c>
      <c r="F371" s="1" t="s">
        <v>28</v>
      </c>
      <c r="G371" s="1" t="s">
        <v>11</v>
      </c>
    </row>
    <row r="372" spans="1:8" x14ac:dyDescent="0.3">
      <c r="A372" s="1" t="s">
        <v>568</v>
      </c>
      <c r="B372" s="1" t="s">
        <v>566</v>
      </c>
      <c r="C372" s="1" t="s">
        <v>2</v>
      </c>
      <c r="D372" s="8">
        <v>69200</v>
      </c>
      <c r="E372" s="1" t="s">
        <v>537</v>
      </c>
      <c r="F372" s="1" t="s">
        <v>28</v>
      </c>
      <c r="G372" s="1" t="s">
        <v>11</v>
      </c>
    </row>
    <row r="373" spans="1:8" x14ac:dyDescent="0.3">
      <c r="A373" s="1" t="s">
        <v>569</v>
      </c>
      <c r="B373" s="1" t="s">
        <v>566</v>
      </c>
      <c r="C373" s="1" t="s">
        <v>531</v>
      </c>
      <c r="D373" s="8">
        <v>750000</v>
      </c>
      <c r="E373" s="1" t="s">
        <v>570</v>
      </c>
      <c r="F373" s="1" t="s">
        <v>11</v>
      </c>
      <c r="G373" s="1" t="s">
        <v>11</v>
      </c>
    </row>
    <row r="374" spans="1:8" x14ac:dyDescent="0.3">
      <c r="A374" s="1" t="s">
        <v>571</v>
      </c>
      <c r="B374" s="1" t="s">
        <v>572</v>
      </c>
      <c r="C374" s="1" t="s">
        <v>2</v>
      </c>
      <c r="D374" s="8">
        <v>12000</v>
      </c>
      <c r="E374" s="1" t="s">
        <v>573</v>
      </c>
      <c r="F374" s="1" t="s">
        <v>11</v>
      </c>
      <c r="G374" s="1" t="s">
        <v>11</v>
      </c>
    </row>
    <row r="375" spans="1:8" x14ac:dyDescent="0.3">
      <c r="A375" s="105" t="s">
        <v>574</v>
      </c>
      <c r="B375" s="1" t="s">
        <v>572</v>
      </c>
      <c r="C375" s="1" t="s">
        <v>2</v>
      </c>
      <c r="D375" s="8">
        <v>150000</v>
      </c>
      <c r="E375" s="1" t="s">
        <v>85</v>
      </c>
      <c r="F375" s="1" t="s">
        <v>28</v>
      </c>
      <c r="G375" s="1" t="s">
        <v>28</v>
      </c>
    </row>
    <row r="376" spans="1:8" x14ac:dyDescent="0.3">
      <c r="A376" s="1" t="s">
        <v>579</v>
      </c>
      <c r="B376" s="1" t="s">
        <v>572</v>
      </c>
      <c r="C376" s="1" t="s">
        <v>2</v>
      </c>
      <c r="D376" s="8">
        <v>160000</v>
      </c>
      <c r="E376" s="1" t="s">
        <v>580</v>
      </c>
      <c r="F376" s="1" t="s">
        <v>11</v>
      </c>
      <c r="G376" s="1" t="s">
        <v>28</v>
      </c>
    </row>
    <row r="377" spans="1:8" x14ac:dyDescent="0.3">
      <c r="A377" s="1" t="s">
        <v>581</v>
      </c>
      <c r="B377" s="1" t="s">
        <v>572</v>
      </c>
      <c r="C377" s="1" t="s">
        <v>2</v>
      </c>
      <c r="D377" s="8">
        <v>100000</v>
      </c>
      <c r="E377" s="1" t="s">
        <v>582</v>
      </c>
      <c r="F377" s="1" t="s">
        <v>28</v>
      </c>
      <c r="G377" s="1" t="s">
        <v>28</v>
      </c>
    </row>
    <row r="378" spans="1:8" x14ac:dyDescent="0.3">
      <c r="A378" s="1" t="s">
        <v>583</v>
      </c>
      <c r="B378" s="1" t="s">
        <v>572</v>
      </c>
      <c r="C378" s="1" t="s">
        <v>2</v>
      </c>
      <c r="D378" s="8">
        <v>100000</v>
      </c>
      <c r="E378" s="1" t="s">
        <v>85</v>
      </c>
      <c r="F378" s="1" t="s">
        <v>28</v>
      </c>
      <c r="G378" s="1" t="s">
        <v>28</v>
      </c>
    </row>
    <row r="379" spans="1:8" x14ac:dyDescent="0.3">
      <c r="A379" s="1" t="s">
        <v>584</v>
      </c>
      <c r="B379" s="1" t="s">
        <v>572</v>
      </c>
      <c r="C379" s="1" t="s">
        <v>2</v>
      </c>
      <c r="D379" s="8">
        <v>100000</v>
      </c>
      <c r="E379" s="1" t="s">
        <v>585</v>
      </c>
      <c r="F379" s="1" t="s">
        <v>28</v>
      </c>
      <c r="G379" s="1" t="s">
        <v>11</v>
      </c>
    </row>
    <row r="380" spans="1:8" x14ac:dyDescent="0.3">
      <c r="A380" s="1" t="s">
        <v>586</v>
      </c>
      <c r="B380" s="1" t="s">
        <v>572</v>
      </c>
      <c r="C380" s="1" t="s">
        <v>2</v>
      </c>
      <c r="D380" s="8">
        <v>120000</v>
      </c>
      <c r="E380" s="1" t="s">
        <v>587</v>
      </c>
      <c r="F380" s="1" t="s">
        <v>11</v>
      </c>
      <c r="G380" s="1" t="s">
        <v>11</v>
      </c>
    </row>
    <row r="381" spans="1:8" x14ac:dyDescent="0.3">
      <c r="A381" s="1" t="s">
        <v>588</v>
      </c>
      <c r="B381" s="1" t="s">
        <v>572</v>
      </c>
      <c r="C381" s="1" t="s">
        <v>2</v>
      </c>
      <c r="D381" s="8">
        <v>300000</v>
      </c>
      <c r="E381" s="1" t="s">
        <v>589</v>
      </c>
      <c r="F381" s="1" t="s">
        <v>28</v>
      </c>
      <c r="G381" s="1" t="s">
        <v>28</v>
      </c>
    </row>
    <row r="382" spans="1:8" x14ac:dyDescent="0.3">
      <c r="A382" s="1" t="s">
        <v>590</v>
      </c>
      <c r="B382" s="1" t="s">
        <v>572</v>
      </c>
      <c r="C382" s="1" t="s">
        <v>531</v>
      </c>
      <c r="D382" s="8">
        <v>300000</v>
      </c>
      <c r="E382" s="1" t="s">
        <v>591</v>
      </c>
      <c r="F382" s="1" t="s">
        <v>28</v>
      </c>
      <c r="G382" s="1" t="s">
        <v>28</v>
      </c>
    </row>
    <row r="383" spans="1:8" x14ac:dyDescent="0.3">
      <c r="A383" s="1" t="s">
        <v>592</v>
      </c>
      <c r="B383" s="1" t="s">
        <v>572</v>
      </c>
      <c r="C383" s="1" t="s">
        <v>2</v>
      </c>
      <c r="D383" s="8">
        <v>125000</v>
      </c>
      <c r="E383" s="1" t="s">
        <v>593</v>
      </c>
      <c r="F383" s="1" t="s">
        <v>352</v>
      </c>
      <c r="G383" s="1" t="s">
        <v>28</v>
      </c>
    </row>
    <row r="384" spans="1:8" x14ac:dyDescent="0.3">
      <c r="A384" s="1" t="s">
        <v>594</v>
      </c>
      <c r="B384" s="1" t="s">
        <v>572</v>
      </c>
      <c r="C384" s="1" t="s">
        <v>2</v>
      </c>
      <c r="D384" s="8">
        <v>250000</v>
      </c>
      <c r="E384" s="1" t="s">
        <v>593</v>
      </c>
      <c r="F384" s="1" t="s">
        <v>352</v>
      </c>
      <c r="G384" s="1" t="s">
        <v>28</v>
      </c>
    </row>
    <row r="385" spans="1:7" x14ac:dyDescent="0.3">
      <c r="A385" s="1" t="s">
        <v>595</v>
      </c>
      <c r="B385" s="1" t="s">
        <v>572</v>
      </c>
      <c r="C385" s="1" t="s">
        <v>531</v>
      </c>
      <c r="D385" s="8">
        <v>16000</v>
      </c>
      <c r="E385" s="1" t="s">
        <v>596</v>
      </c>
      <c r="F385" s="1" t="s">
        <v>28</v>
      </c>
      <c r="G385" s="1" t="s">
        <v>28</v>
      </c>
    </row>
    <row r="386" spans="1:7" x14ac:dyDescent="0.3">
      <c r="A386" s="1" t="s">
        <v>597</v>
      </c>
      <c r="B386" s="1" t="s">
        <v>572</v>
      </c>
      <c r="C386" s="1" t="s">
        <v>2</v>
      </c>
      <c r="D386" s="8">
        <v>200000</v>
      </c>
      <c r="E386" s="1" t="s">
        <v>85</v>
      </c>
      <c r="F386" s="1" t="s">
        <v>28</v>
      </c>
      <c r="G386" s="1" t="s">
        <v>28</v>
      </c>
    </row>
    <row r="387" spans="1:7" x14ac:dyDescent="0.3">
      <c r="A387" s="1" t="s">
        <v>598</v>
      </c>
      <c r="B387" s="1" t="s">
        <v>572</v>
      </c>
      <c r="C387" s="1" t="s">
        <v>2</v>
      </c>
      <c r="D387" s="8">
        <v>300000</v>
      </c>
      <c r="E387" s="1" t="s">
        <v>85</v>
      </c>
      <c r="F387" s="1" t="s">
        <v>28</v>
      </c>
      <c r="G387" s="1" t="s">
        <v>28</v>
      </c>
    </row>
    <row r="388" spans="1:7" x14ac:dyDescent="0.3">
      <c r="A388" s="1" t="s">
        <v>599</v>
      </c>
      <c r="B388" s="1" t="s">
        <v>572</v>
      </c>
      <c r="C388" s="1" t="s">
        <v>2</v>
      </c>
      <c r="D388" s="8">
        <v>50000</v>
      </c>
      <c r="E388" s="1" t="s">
        <v>600</v>
      </c>
      <c r="F388" s="1" t="s">
        <v>11</v>
      </c>
      <c r="G388" s="1" t="s">
        <v>11</v>
      </c>
    </row>
    <row r="389" spans="1:7" x14ac:dyDescent="0.3">
      <c r="A389" s="1" t="s">
        <v>601</v>
      </c>
      <c r="B389" s="1" t="s">
        <v>572</v>
      </c>
      <c r="C389" s="1" t="s">
        <v>2</v>
      </c>
      <c r="D389" s="8">
        <v>25000</v>
      </c>
      <c r="E389" s="1" t="s">
        <v>602</v>
      </c>
      <c r="F389" s="1" t="s">
        <v>28</v>
      </c>
      <c r="G389" s="1" t="s">
        <v>28</v>
      </c>
    </row>
    <row r="390" spans="1:7" x14ac:dyDescent="0.3">
      <c r="A390" s="1" t="s">
        <v>605</v>
      </c>
      <c r="B390" s="1" t="s">
        <v>572</v>
      </c>
      <c r="C390" s="1" t="s">
        <v>531</v>
      </c>
      <c r="D390" s="8">
        <v>80000</v>
      </c>
      <c r="E390" s="1" t="s">
        <v>606</v>
      </c>
      <c r="F390" s="1" t="s">
        <v>28</v>
      </c>
      <c r="G390" s="1" t="s">
        <v>28</v>
      </c>
    </row>
    <row r="391" spans="1:7" x14ac:dyDescent="0.3">
      <c r="A391" s="33" t="s">
        <v>607</v>
      </c>
      <c r="B391" s="1" t="s">
        <v>572</v>
      </c>
      <c r="C391" s="1" t="s">
        <v>531</v>
      </c>
      <c r="D391" s="8">
        <v>850000</v>
      </c>
      <c r="E391" s="1" t="s">
        <v>608</v>
      </c>
      <c r="F391" s="1" t="s">
        <v>28</v>
      </c>
      <c r="G391" s="1" t="s">
        <v>28</v>
      </c>
    </row>
    <row r="392" spans="1:7" x14ac:dyDescent="0.3">
      <c r="A392" s="33" t="s">
        <v>609</v>
      </c>
      <c r="B392" s="1" t="s">
        <v>572</v>
      </c>
      <c r="C392" s="1" t="s">
        <v>531</v>
      </c>
      <c r="D392" s="8">
        <v>1900000</v>
      </c>
      <c r="E392" s="1" t="s">
        <v>610</v>
      </c>
      <c r="F392" s="1" t="s">
        <v>28</v>
      </c>
      <c r="G392" s="1" t="s">
        <v>28</v>
      </c>
    </row>
    <row r="393" spans="1:7" x14ac:dyDescent="0.3">
      <c r="A393" s="9" t="s">
        <v>611</v>
      </c>
      <c r="B393" s="1" t="s">
        <v>572</v>
      </c>
      <c r="C393" s="1" t="s">
        <v>531</v>
      </c>
      <c r="D393" s="8">
        <v>2000000</v>
      </c>
      <c r="E393" s="1" t="s">
        <v>612</v>
      </c>
      <c r="F393" s="1" t="s">
        <v>28</v>
      </c>
      <c r="G393" s="1" t="s">
        <v>28</v>
      </c>
    </row>
    <row r="394" spans="1:7" x14ac:dyDescent="0.3">
      <c r="A394" s="1" t="s">
        <v>613</v>
      </c>
      <c r="B394" s="1" t="s">
        <v>572</v>
      </c>
      <c r="C394" s="1" t="s">
        <v>531</v>
      </c>
      <c r="D394" s="8">
        <v>3000000</v>
      </c>
      <c r="E394" s="1" t="s">
        <v>614</v>
      </c>
      <c r="F394" s="1" t="s">
        <v>28</v>
      </c>
      <c r="G394" s="1" t="s">
        <v>28</v>
      </c>
    </row>
    <row r="395" spans="1:7" x14ac:dyDescent="0.3">
      <c r="A395" s="9" t="s">
        <v>615</v>
      </c>
      <c r="B395" s="1" t="s">
        <v>572</v>
      </c>
      <c r="C395" s="1" t="s">
        <v>531</v>
      </c>
      <c r="D395" s="8">
        <v>1900000</v>
      </c>
      <c r="E395" s="1" t="s">
        <v>616</v>
      </c>
      <c r="F395" s="1" t="s">
        <v>28</v>
      </c>
      <c r="G395" s="1" t="s">
        <v>28</v>
      </c>
    </row>
    <row r="396" spans="1:7" x14ac:dyDescent="0.3">
      <c r="A396" s="11" t="s">
        <v>603</v>
      </c>
      <c r="B396" s="1" t="s">
        <v>572</v>
      </c>
      <c r="C396" s="1" t="s">
        <v>2</v>
      </c>
      <c r="D396" s="8">
        <v>1300000</v>
      </c>
      <c r="E396" s="1" t="s">
        <v>604</v>
      </c>
      <c r="F396" s="1" t="s">
        <v>11</v>
      </c>
      <c r="G396" s="1" t="s">
        <v>11</v>
      </c>
    </row>
    <row r="397" spans="1:7" x14ac:dyDescent="0.3">
      <c r="A397" s="11" t="s">
        <v>617</v>
      </c>
      <c r="B397" s="1" t="s">
        <v>572</v>
      </c>
      <c r="C397" s="1" t="s">
        <v>531</v>
      </c>
      <c r="D397" s="8">
        <v>1850000</v>
      </c>
      <c r="E397" s="1" t="s">
        <v>606</v>
      </c>
      <c r="F397" s="1" t="s">
        <v>28</v>
      </c>
      <c r="G397" s="1" t="s">
        <v>28</v>
      </c>
    </row>
    <row r="398" spans="1:7" x14ac:dyDescent="0.3">
      <c r="A398" s="9" t="s">
        <v>618</v>
      </c>
      <c r="B398" s="1" t="s">
        <v>572</v>
      </c>
      <c r="C398" s="1" t="s">
        <v>43</v>
      </c>
      <c r="D398" s="102">
        <v>4000</v>
      </c>
      <c r="E398" s="1" t="s">
        <v>619</v>
      </c>
      <c r="F398" s="1" t="s">
        <v>11</v>
      </c>
      <c r="G398" s="1" t="s">
        <v>28</v>
      </c>
    </row>
    <row r="399" spans="1:7" x14ac:dyDescent="0.3">
      <c r="A399" s="11" t="s">
        <v>620</v>
      </c>
      <c r="B399" s="1" t="s">
        <v>572</v>
      </c>
      <c r="C399" s="1" t="s">
        <v>531</v>
      </c>
      <c r="D399" s="8">
        <v>2500000</v>
      </c>
      <c r="E399" s="1" t="s">
        <v>621</v>
      </c>
      <c r="F399" s="1" t="s">
        <v>28</v>
      </c>
      <c r="G399" s="1" t="s">
        <v>28</v>
      </c>
    </row>
    <row r="400" spans="1:7" x14ac:dyDescent="0.3">
      <c r="A400" s="11" t="s">
        <v>622</v>
      </c>
      <c r="B400" s="1" t="s">
        <v>572</v>
      </c>
      <c r="C400" s="1" t="s">
        <v>531</v>
      </c>
      <c r="D400" s="8">
        <v>1200000</v>
      </c>
      <c r="E400" s="1" t="s">
        <v>606</v>
      </c>
      <c r="F400" s="1" t="s">
        <v>28</v>
      </c>
      <c r="G400" s="1" t="s">
        <v>28</v>
      </c>
    </row>
    <row r="401" spans="1:7" x14ac:dyDescent="0.3">
      <c r="A401" s="9" t="s">
        <v>623</v>
      </c>
      <c r="B401" s="1" t="s">
        <v>572</v>
      </c>
      <c r="C401" s="1" t="s">
        <v>531</v>
      </c>
      <c r="D401" s="8">
        <v>200000</v>
      </c>
      <c r="E401" s="1" t="s">
        <v>624</v>
      </c>
      <c r="F401" s="1" t="s">
        <v>28</v>
      </c>
      <c r="G401" s="1" t="s">
        <v>28</v>
      </c>
    </row>
    <row r="402" spans="1:7" x14ac:dyDescent="0.3">
      <c r="A402" s="1" t="s">
        <v>625</v>
      </c>
      <c r="B402" s="1" t="s">
        <v>572</v>
      </c>
      <c r="C402" s="1" t="s">
        <v>531</v>
      </c>
      <c r="D402" s="8">
        <v>500000</v>
      </c>
      <c r="E402" s="1" t="s">
        <v>356</v>
      </c>
      <c r="F402" s="1" t="s">
        <v>352</v>
      </c>
      <c r="G402" s="1" t="s">
        <v>352</v>
      </c>
    </row>
    <row r="403" spans="1:7" x14ac:dyDescent="0.3">
      <c r="A403" s="1" t="s">
        <v>626</v>
      </c>
      <c r="B403" s="1" t="s">
        <v>572</v>
      </c>
      <c r="C403" s="1" t="s">
        <v>531</v>
      </c>
      <c r="D403" s="8">
        <v>90000</v>
      </c>
      <c r="E403" s="1" t="s">
        <v>627</v>
      </c>
      <c r="F403" s="1" t="s">
        <v>28</v>
      </c>
      <c r="G403" s="1" t="s">
        <v>28</v>
      </c>
    </row>
    <row r="404" spans="1:7" x14ac:dyDescent="0.3">
      <c r="A404" s="1" t="s">
        <v>628</v>
      </c>
      <c r="B404" s="1" t="s">
        <v>572</v>
      </c>
      <c r="C404" s="1" t="s">
        <v>43</v>
      </c>
      <c r="D404" s="8">
        <v>27000</v>
      </c>
      <c r="E404" s="1" t="s">
        <v>629</v>
      </c>
      <c r="F404" s="1" t="s">
        <v>28</v>
      </c>
      <c r="G404" s="1" t="s">
        <v>28</v>
      </c>
    </row>
    <row r="405" spans="1:7" x14ac:dyDescent="0.3">
      <c r="A405" s="1" t="s">
        <v>630</v>
      </c>
      <c r="B405" s="1" t="s">
        <v>572</v>
      </c>
      <c r="C405" s="1" t="s">
        <v>2</v>
      </c>
      <c r="D405" s="8">
        <v>250000</v>
      </c>
      <c r="E405" s="1" t="s">
        <v>292</v>
      </c>
      <c r="F405" s="1" t="s">
        <v>28</v>
      </c>
      <c r="G405" s="1" t="s">
        <v>28</v>
      </c>
    </row>
    <row r="406" spans="1:7" x14ac:dyDescent="0.3">
      <c r="A406" s="1" t="s">
        <v>631</v>
      </c>
      <c r="B406" s="1" t="s">
        <v>572</v>
      </c>
      <c r="C406" s="1" t="s">
        <v>2</v>
      </c>
      <c r="D406" s="8">
        <v>250000</v>
      </c>
      <c r="E406" s="1" t="s">
        <v>632</v>
      </c>
      <c r="F406" s="1" t="s">
        <v>11</v>
      </c>
      <c r="G406" s="1" t="s">
        <v>28</v>
      </c>
    </row>
    <row r="407" spans="1:7" x14ac:dyDescent="0.3">
      <c r="A407" s="1" t="s">
        <v>633</v>
      </c>
      <c r="B407" s="1" t="s">
        <v>572</v>
      </c>
      <c r="C407" s="1" t="s">
        <v>2</v>
      </c>
      <c r="D407" s="8">
        <v>500000</v>
      </c>
      <c r="E407" s="1" t="s">
        <v>634</v>
      </c>
      <c r="F407" s="1" t="s">
        <v>352</v>
      </c>
      <c r="G407" s="1" t="s">
        <v>28</v>
      </c>
    </row>
    <row r="408" spans="1:7" x14ac:dyDescent="0.3">
      <c r="A408" s="1" t="s">
        <v>635</v>
      </c>
      <c r="B408" s="1" t="s">
        <v>572</v>
      </c>
      <c r="C408" s="1" t="s">
        <v>2</v>
      </c>
      <c r="D408" s="8">
        <v>1000000</v>
      </c>
      <c r="E408" s="1" t="s">
        <v>636</v>
      </c>
      <c r="F408" s="1" t="s">
        <v>28</v>
      </c>
      <c r="G408" s="1" t="s">
        <v>28</v>
      </c>
    </row>
    <row r="409" spans="1:7" x14ac:dyDescent="0.3">
      <c r="A409" s="1" t="s">
        <v>637</v>
      </c>
      <c r="B409" s="1" t="s">
        <v>572</v>
      </c>
      <c r="C409" s="1" t="s">
        <v>2</v>
      </c>
      <c r="D409" s="8">
        <v>45000</v>
      </c>
      <c r="E409" s="1" t="s">
        <v>638</v>
      </c>
      <c r="F409" s="1" t="s">
        <v>28</v>
      </c>
      <c r="G409" s="1" t="s">
        <v>28</v>
      </c>
    </row>
    <row r="410" spans="1:7" x14ac:dyDescent="0.3">
      <c r="A410" s="1" t="s">
        <v>637</v>
      </c>
      <c r="B410" s="1" t="s">
        <v>572</v>
      </c>
      <c r="C410" s="1" t="s">
        <v>2</v>
      </c>
      <c r="D410" s="8">
        <v>45000</v>
      </c>
      <c r="E410" s="1" t="s">
        <v>638</v>
      </c>
      <c r="F410" s="1" t="s">
        <v>352</v>
      </c>
      <c r="G410" s="1" t="s">
        <v>28</v>
      </c>
    </row>
    <row r="411" spans="1:7" x14ac:dyDescent="0.3">
      <c r="A411" s="1" t="s">
        <v>639</v>
      </c>
      <c r="B411" s="1" t="s">
        <v>572</v>
      </c>
      <c r="C411" s="1" t="s">
        <v>531</v>
      </c>
      <c r="D411" s="8">
        <v>70000</v>
      </c>
      <c r="E411" s="1" t="s">
        <v>640</v>
      </c>
      <c r="F411" s="1" t="s">
        <v>28</v>
      </c>
      <c r="G411" s="1" t="s">
        <v>28</v>
      </c>
    </row>
    <row r="412" spans="1:7" x14ac:dyDescent="0.3">
      <c r="A412" s="1" t="s">
        <v>641</v>
      </c>
      <c r="B412" s="1" t="s">
        <v>572</v>
      </c>
      <c r="C412" s="1" t="s">
        <v>2</v>
      </c>
      <c r="D412" s="8">
        <v>100000</v>
      </c>
      <c r="E412" s="1" t="s">
        <v>642</v>
      </c>
      <c r="F412" s="1" t="s">
        <v>28</v>
      </c>
      <c r="G412" s="1" t="s">
        <v>28</v>
      </c>
    </row>
    <row r="413" spans="1:7" x14ac:dyDescent="0.3">
      <c r="A413" s="107" t="s">
        <v>643</v>
      </c>
      <c r="B413" s="1" t="s">
        <v>572</v>
      </c>
      <c r="C413" s="1" t="s">
        <v>531</v>
      </c>
      <c r="D413" s="8">
        <v>22000</v>
      </c>
      <c r="E413" s="1" t="s">
        <v>640</v>
      </c>
      <c r="F413" s="1" t="s">
        <v>28</v>
      </c>
      <c r="G413" s="1" t="s">
        <v>28</v>
      </c>
    </row>
    <row r="414" spans="1:7" x14ac:dyDescent="0.3">
      <c r="A414" s="84" t="s">
        <v>644</v>
      </c>
      <c r="B414" s="1" t="s">
        <v>572</v>
      </c>
      <c r="C414" s="1" t="s">
        <v>2</v>
      </c>
      <c r="D414" s="8">
        <v>180000</v>
      </c>
      <c r="E414" s="1" t="s">
        <v>645</v>
      </c>
      <c r="F414" s="1" t="s">
        <v>28</v>
      </c>
      <c r="G414" s="1" t="s">
        <v>28</v>
      </c>
    </row>
    <row r="415" spans="1:7" x14ac:dyDescent="0.3">
      <c r="A415" s="1" t="s">
        <v>644</v>
      </c>
      <c r="B415" s="1" t="s">
        <v>572</v>
      </c>
      <c r="C415" s="1" t="s">
        <v>2</v>
      </c>
      <c r="D415" s="8">
        <v>180000</v>
      </c>
      <c r="E415" s="1" t="s">
        <v>645</v>
      </c>
      <c r="F415" s="1" t="s">
        <v>352</v>
      </c>
      <c r="G415" s="1" t="s">
        <v>28</v>
      </c>
    </row>
    <row r="416" spans="1:7" x14ac:dyDescent="0.3">
      <c r="A416" s="1" t="s">
        <v>646</v>
      </c>
      <c r="B416" s="1" t="s">
        <v>576</v>
      </c>
      <c r="C416" s="1" t="s">
        <v>2</v>
      </c>
      <c r="D416" s="8">
        <v>635000</v>
      </c>
      <c r="E416" s="1" t="s">
        <v>647</v>
      </c>
      <c r="F416" s="1" t="s">
        <v>11</v>
      </c>
      <c r="G416" s="1" t="s">
        <v>11</v>
      </c>
    </row>
    <row r="417" spans="1:7" x14ac:dyDescent="0.3">
      <c r="A417" s="1" t="s">
        <v>648</v>
      </c>
      <c r="B417" s="1" t="s">
        <v>576</v>
      </c>
      <c r="C417" s="1" t="s">
        <v>2</v>
      </c>
      <c r="D417" s="8">
        <v>817600</v>
      </c>
      <c r="E417" s="1" t="s">
        <v>649</v>
      </c>
      <c r="F417" s="1" t="s">
        <v>11</v>
      </c>
      <c r="G417" s="1" t="s">
        <v>11</v>
      </c>
    </row>
    <row r="418" spans="1:7" x14ac:dyDescent="0.3">
      <c r="A418" s="1" t="s">
        <v>650</v>
      </c>
      <c r="B418" s="1" t="s">
        <v>576</v>
      </c>
      <c r="C418" s="1" t="s">
        <v>2</v>
      </c>
      <c r="D418" s="8">
        <v>1070000</v>
      </c>
      <c r="E418" s="1" t="s">
        <v>651</v>
      </c>
      <c r="F418" s="1" t="s">
        <v>11</v>
      </c>
      <c r="G418" s="1" t="s">
        <v>11</v>
      </c>
    </row>
    <row r="419" spans="1:7" x14ac:dyDescent="0.3">
      <c r="A419" s="1" t="s">
        <v>652</v>
      </c>
      <c r="B419" s="1" t="s">
        <v>576</v>
      </c>
      <c r="C419" s="1" t="s">
        <v>2</v>
      </c>
      <c r="D419" s="8">
        <f>37990/1.19</f>
        <v>31924.36974789916</v>
      </c>
      <c r="E419" s="1" t="s">
        <v>653</v>
      </c>
      <c r="F419" s="1" t="s">
        <v>11</v>
      </c>
      <c r="G419" s="1" t="s">
        <v>11</v>
      </c>
    </row>
    <row r="420" spans="1:7" x14ac:dyDescent="0.3">
      <c r="A420" s="1" t="s">
        <v>874</v>
      </c>
      <c r="B420" s="1" t="s">
        <v>576</v>
      </c>
      <c r="C420" s="1" t="s">
        <v>2</v>
      </c>
      <c r="D420" s="8">
        <v>243000</v>
      </c>
      <c r="E420" s="1"/>
      <c r="F420" s="1"/>
      <c r="G420" s="1"/>
    </row>
    <row r="421" spans="1:7" x14ac:dyDescent="0.3">
      <c r="A421" s="1" t="s">
        <v>578</v>
      </c>
      <c r="B421" s="1" t="s">
        <v>576</v>
      </c>
      <c r="C421" s="1" t="s">
        <v>2</v>
      </c>
      <c r="D421" s="8">
        <v>80000</v>
      </c>
      <c r="E421" s="1" t="s">
        <v>577</v>
      </c>
      <c r="F421" s="1" t="s">
        <v>11</v>
      </c>
      <c r="G421" s="1" t="s">
        <v>11</v>
      </c>
    </row>
    <row r="422" spans="1:7" x14ac:dyDescent="0.3">
      <c r="A422" s="1" t="s">
        <v>870</v>
      </c>
      <c r="B422" s="1" t="s">
        <v>576</v>
      </c>
      <c r="C422" s="1" t="s">
        <v>2</v>
      </c>
      <c r="D422" s="8">
        <v>73000</v>
      </c>
      <c r="E422" s="1" t="s">
        <v>873</v>
      </c>
      <c r="F422" s="1" t="s">
        <v>11</v>
      </c>
      <c r="G422" s="1" t="s">
        <v>11</v>
      </c>
    </row>
    <row r="423" spans="1:7" x14ac:dyDescent="0.3">
      <c r="A423" s="1" t="s">
        <v>654</v>
      </c>
      <c r="B423" s="1" t="s">
        <v>576</v>
      </c>
      <c r="C423" s="1" t="s">
        <v>2</v>
      </c>
      <c r="D423" s="8">
        <v>85000</v>
      </c>
      <c r="E423" s="1" t="s">
        <v>165</v>
      </c>
      <c r="F423" s="1" t="s">
        <v>11</v>
      </c>
      <c r="G423" s="1" t="s">
        <v>11</v>
      </c>
    </row>
    <row r="424" spans="1:7" x14ac:dyDescent="0.3">
      <c r="A424" s="1" t="s">
        <v>655</v>
      </c>
      <c r="B424" s="1" t="s">
        <v>576</v>
      </c>
      <c r="C424" s="1" t="s">
        <v>2</v>
      </c>
      <c r="D424" s="8">
        <v>160000</v>
      </c>
      <c r="E424" s="1" t="s">
        <v>165</v>
      </c>
      <c r="F424" s="1" t="s">
        <v>11</v>
      </c>
      <c r="G424" s="1" t="s">
        <v>11</v>
      </c>
    </row>
    <row r="425" spans="1:7" x14ac:dyDescent="0.3">
      <c r="A425" s="1" t="s">
        <v>575</v>
      </c>
      <c r="B425" s="1" t="s">
        <v>576</v>
      </c>
      <c r="C425" s="1" t="s">
        <v>65</v>
      </c>
      <c r="D425" s="8">
        <v>460000</v>
      </c>
      <c r="E425" s="1" t="s">
        <v>577</v>
      </c>
      <c r="F425" s="1" t="s">
        <v>11</v>
      </c>
      <c r="G425" s="1" t="s">
        <v>11</v>
      </c>
    </row>
    <row r="426" spans="1:7" x14ac:dyDescent="0.3">
      <c r="A426" s="1" t="s">
        <v>656</v>
      </c>
      <c r="B426" s="1" t="s">
        <v>576</v>
      </c>
      <c r="C426" s="1" t="s">
        <v>2</v>
      </c>
      <c r="D426" s="8">
        <v>160000</v>
      </c>
      <c r="E426" s="1" t="s">
        <v>657</v>
      </c>
      <c r="F426" s="1" t="s">
        <v>11</v>
      </c>
      <c r="G426" s="1" t="s">
        <v>11</v>
      </c>
    </row>
    <row r="427" spans="1:7" x14ac:dyDescent="0.3">
      <c r="A427" s="1" t="s">
        <v>658</v>
      </c>
      <c r="B427" s="1" t="s">
        <v>576</v>
      </c>
      <c r="C427" s="1" t="s">
        <v>2</v>
      </c>
      <c r="D427" s="102">
        <v>50000</v>
      </c>
      <c r="E427" s="1" t="s">
        <v>659</v>
      </c>
      <c r="F427" s="1" t="s">
        <v>11</v>
      </c>
      <c r="G427" s="1" t="s">
        <v>11</v>
      </c>
    </row>
    <row r="428" spans="1:7" x14ac:dyDescent="0.3">
      <c r="A428" s="1" t="s">
        <v>660</v>
      </c>
      <c r="B428" s="1" t="s">
        <v>576</v>
      </c>
      <c r="C428" s="1" t="s">
        <v>2</v>
      </c>
      <c r="D428" s="8">
        <v>40000</v>
      </c>
      <c r="E428" s="1" t="s">
        <v>85</v>
      </c>
      <c r="F428" s="1" t="s">
        <v>11</v>
      </c>
      <c r="G428" s="1" t="s">
        <v>11</v>
      </c>
    </row>
    <row r="429" spans="1:7" x14ac:dyDescent="0.3">
      <c r="A429" s="1" t="s">
        <v>661</v>
      </c>
      <c r="B429" s="1" t="s">
        <v>576</v>
      </c>
      <c r="C429" s="1" t="s">
        <v>2</v>
      </c>
      <c r="D429" s="8">
        <v>152000</v>
      </c>
      <c r="E429" s="1" t="s">
        <v>662</v>
      </c>
      <c r="F429" s="1" t="s">
        <v>11</v>
      </c>
      <c r="G429" s="1" t="s">
        <v>11</v>
      </c>
    </row>
    <row r="430" spans="1:7" x14ac:dyDescent="0.3">
      <c r="A430" s="1" t="s">
        <v>663</v>
      </c>
      <c r="B430" s="1" t="s">
        <v>576</v>
      </c>
      <c r="C430" s="1" t="s">
        <v>2</v>
      </c>
      <c r="D430" s="8">
        <v>362000</v>
      </c>
      <c r="E430" s="1" t="s">
        <v>664</v>
      </c>
      <c r="F430" s="1" t="s">
        <v>11</v>
      </c>
      <c r="G430" s="1" t="s">
        <v>11</v>
      </c>
    </row>
    <row r="431" spans="1:7" x14ac:dyDescent="0.3">
      <c r="A431" s="1" t="s">
        <v>665</v>
      </c>
      <c r="B431" s="1" t="s">
        <v>576</v>
      </c>
      <c r="C431" s="1" t="s">
        <v>2</v>
      </c>
      <c r="D431" s="8">
        <v>40000</v>
      </c>
      <c r="E431" s="1" t="s">
        <v>666</v>
      </c>
      <c r="F431" s="1" t="s">
        <v>11</v>
      </c>
      <c r="G431" s="1" t="s">
        <v>11</v>
      </c>
    </row>
    <row r="432" spans="1:7" x14ac:dyDescent="0.3">
      <c r="A432" s="1" t="s">
        <v>667</v>
      </c>
      <c r="B432" s="1" t="s">
        <v>576</v>
      </c>
      <c r="C432" s="1" t="s">
        <v>2</v>
      </c>
      <c r="D432" s="8">
        <v>353000</v>
      </c>
      <c r="E432" s="1" t="s">
        <v>405</v>
      </c>
      <c r="F432" s="1" t="s">
        <v>11</v>
      </c>
      <c r="G432" s="1" t="s">
        <v>11</v>
      </c>
    </row>
    <row r="433" spans="1:7" x14ac:dyDescent="0.3">
      <c r="A433" s="1" t="s">
        <v>668</v>
      </c>
      <c r="B433" s="1" t="s">
        <v>576</v>
      </c>
      <c r="C433" s="1" t="s">
        <v>2</v>
      </c>
      <c r="D433" s="8">
        <v>220000</v>
      </c>
      <c r="E433" s="1" t="s">
        <v>337</v>
      </c>
      <c r="F433" s="1" t="s">
        <v>11</v>
      </c>
      <c r="G433" s="1" t="s">
        <v>11</v>
      </c>
    </row>
    <row r="434" spans="1:7" x14ac:dyDescent="0.3">
      <c r="A434" s="1" t="s">
        <v>669</v>
      </c>
      <c r="B434" s="1" t="s">
        <v>576</v>
      </c>
      <c r="C434" s="1" t="s">
        <v>2</v>
      </c>
      <c r="D434" s="8">
        <v>595000</v>
      </c>
      <c r="E434" s="1" t="s">
        <v>337</v>
      </c>
      <c r="F434" s="1" t="s">
        <v>11</v>
      </c>
      <c r="G434" s="1" t="s">
        <v>11</v>
      </c>
    </row>
    <row r="435" spans="1:7" x14ac:dyDescent="0.3">
      <c r="A435" s="1" t="s">
        <v>670</v>
      </c>
      <c r="B435" s="1" t="s">
        <v>576</v>
      </c>
      <c r="C435" s="1" t="s">
        <v>2</v>
      </c>
      <c r="D435" s="8">
        <v>453000</v>
      </c>
      <c r="E435" s="1" t="s">
        <v>671</v>
      </c>
      <c r="F435" s="1" t="s">
        <v>11</v>
      </c>
      <c r="G435" s="1" t="s">
        <v>11</v>
      </c>
    </row>
    <row r="436" spans="1:7" x14ac:dyDescent="0.3">
      <c r="A436" s="1" t="s">
        <v>672</v>
      </c>
      <c r="B436" s="1" t="s">
        <v>576</v>
      </c>
      <c r="C436" s="1" t="s">
        <v>2</v>
      </c>
      <c r="D436" s="8">
        <v>293750</v>
      </c>
      <c r="E436" s="1" t="s">
        <v>662</v>
      </c>
      <c r="F436" s="1" t="s">
        <v>11</v>
      </c>
      <c r="G436" s="1" t="s">
        <v>11</v>
      </c>
    </row>
    <row r="437" spans="1:7" x14ac:dyDescent="0.3">
      <c r="A437" s="1" t="s">
        <v>673</v>
      </c>
      <c r="B437" s="1" t="s">
        <v>576</v>
      </c>
      <c r="C437" s="1" t="s">
        <v>2</v>
      </c>
      <c r="D437" s="8">
        <v>293750</v>
      </c>
      <c r="E437" s="1" t="s">
        <v>674</v>
      </c>
      <c r="F437" s="1" t="s">
        <v>11</v>
      </c>
      <c r="G437" s="1" t="s">
        <v>11</v>
      </c>
    </row>
    <row r="438" spans="1:7" x14ac:dyDescent="0.3">
      <c r="A438" s="1" t="s">
        <v>860</v>
      </c>
      <c r="B438" s="1" t="s">
        <v>576</v>
      </c>
      <c r="C438" s="1" t="s">
        <v>2</v>
      </c>
      <c r="D438" s="8">
        <v>765000</v>
      </c>
      <c r="E438" s="1" t="s">
        <v>873</v>
      </c>
      <c r="F438" s="1" t="s">
        <v>11</v>
      </c>
      <c r="G438" s="1" t="s">
        <v>11</v>
      </c>
    </row>
    <row r="439" spans="1:7" x14ac:dyDescent="0.3">
      <c r="A439" s="1" t="s">
        <v>675</v>
      </c>
      <c r="B439" s="1" t="s">
        <v>576</v>
      </c>
      <c r="C439" s="1" t="s">
        <v>2</v>
      </c>
      <c r="D439" s="8">
        <v>593000</v>
      </c>
      <c r="E439" s="1" t="s">
        <v>676</v>
      </c>
      <c r="F439" s="1" t="s">
        <v>11</v>
      </c>
      <c r="G439" s="1" t="s">
        <v>11</v>
      </c>
    </row>
    <row r="440" spans="1:7" x14ac:dyDescent="0.3">
      <c r="A440" s="1" t="s">
        <v>677</v>
      </c>
      <c r="B440" s="1" t="s">
        <v>576</v>
      </c>
      <c r="C440" s="1" t="s">
        <v>2</v>
      </c>
      <c r="D440" s="8">
        <v>720000</v>
      </c>
      <c r="E440" s="1" t="s">
        <v>359</v>
      </c>
      <c r="F440" s="1" t="s">
        <v>11</v>
      </c>
      <c r="G440" s="1" t="s">
        <v>11</v>
      </c>
    </row>
    <row r="441" spans="1:7" x14ac:dyDescent="0.3">
      <c r="A441" s="1" t="s">
        <v>678</v>
      </c>
      <c r="B441" s="1" t="s">
        <v>576</v>
      </c>
      <c r="C441" s="1" t="s">
        <v>2</v>
      </c>
      <c r="D441" s="8">
        <v>1211600</v>
      </c>
      <c r="E441" s="1" t="s">
        <v>679</v>
      </c>
      <c r="F441" s="1" t="s">
        <v>11</v>
      </c>
      <c r="G441" s="1" t="s">
        <v>11</v>
      </c>
    </row>
    <row r="442" spans="1:7" x14ac:dyDescent="0.3">
      <c r="A442" s="1" t="s">
        <v>680</v>
      </c>
      <c r="B442" s="1" t="s">
        <v>576</v>
      </c>
      <c r="C442" s="1" t="s">
        <v>2</v>
      </c>
      <c r="D442" s="8">
        <v>780000</v>
      </c>
      <c r="E442" s="1" t="s">
        <v>681</v>
      </c>
      <c r="F442" s="1" t="s">
        <v>11</v>
      </c>
      <c r="G442" s="1" t="s">
        <v>11</v>
      </c>
    </row>
    <row r="443" spans="1:7" x14ac:dyDescent="0.3">
      <c r="A443" s="1" t="s">
        <v>682</v>
      </c>
      <c r="B443" s="1" t="s">
        <v>576</v>
      </c>
      <c r="C443" s="1" t="s">
        <v>2</v>
      </c>
      <c r="D443" s="8">
        <v>1276600</v>
      </c>
      <c r="E443" s="1" t="s">
        <v>679</v>
      </c>
      <c r="F443" s="1" t="s">
        <v>11</v>
      </c>
      <c r="G443" s="1" t="s">
        <v>11</v>
      </c>
    </row>
    <row r="444" spans="1:7" x14ac:dyDescent="0.3">
      <c r="A444" s="33" t="s">
        <v>683</v>
      </c>
      <c r="B444" s="1" t="s">
        <v>576</v>
      </c>
      <c r="C444" s="1" t="s">
        <v>2</v>
      </c>
      <c r="D444" s="8">
        <v>475500</v>
      </c>
      <c r="E444" s="1" t="s">
        <v>684</v>
      </c>
      <c r="F444" s="1" t="s">
        <v>11</v>
      </c>
      <c r="G444" s="1" t="s">
        <v>11</v>
      </c>
    </row>
    <row r="445" spans="1:7" x14ac:dyDescent="0.3">
      <c r="A445" s="11" t="s">
        <v>865</v>
      </c>
      <c r="B445" s="3" t="s">
        <v>576</v>
      </c>
      <c r="C445" s="1" t="s">
        <v>2</v>
      </c>
      <c r="D445" s="8">
        <v>240000</v>
      </c>
      <c r="E445" s="1" t="s">
        <v>873</v>
      </c>
      <c r="F445" s="1" t="s">
        <v>11</v>
      </c>
      <c r="G445" s="1" t="s">
        <v>11</v>
      </c>
    </row>
    <row r="446" spans="1:7" x14ac:dyDescent="0.3">
      <c r="A446" s="1" t="s">
        <v>685</v>
      </c>
      <c r="B446" s="1" t="s">
        <v>576</v>
      </c>
      <c r="C446" s="1" t="s">
        <v>2</v>
      </c>
      <c r="D446" s="8">
        <v>507731</v>
      </c>
      <c r="E446" s="1" t="s">
        <v>435</v>
      </c>
      <c r="F446" s="1" t="s">
        <v>11</v>
      </c>
      <c r="G446" s="1" t="s">
        <v>11</v>
      </c>
    </row>
    <row r="447" spans="1:7" x14ac:dyDescent="0.3">
      <c r="A447" s="1" t="s">
        <v>686</v>
      </c>
      <c r="B447" s="1" t="s">
        <v>576</v>
      </c>
      <c r="C447" s="1" t="s">
        <v>2</v>
      </c>
      <c r="D447" s="8">
        <f>95990/1.19</f>
        <v>80663.865546218498</v>
      </c>
      <c r="E447" s="1" t="s">
        <v>131</v>
      </c>
      <c r="F447" s="1" t="s">
        <v>11</v>
      </c>
      <c r="G447" s="1" t="s">
        <v>11</v>
      </c>
    </row>
    <row r="448" spans="1:7" x14ac:dyDescent="0.3">
      <c r="A448" s="1" t="s">
        <v>687</v>
      </c>
      <c r="B448" s="1" t="s">
        <v>576</v>
      </c>
      <c r="C448" s="1" t="s">
        <v>2</v>
      </c>
      <c r="D448" s="8">
        <v>235000</v>
      </c>
      <c r="E448" s="1" t="s">
        <v>688</v>
      </c>
      <c r="F448" s="1" t="s">
        <v>11</v>
      </c>
      <c r="G448" s="1" t="s">
        <v>11</v>
      </c>
    </row>
    <row r="449" spans="1:7" x14ac:dyDescent="0.3">
      <c r="A449" s="1" t="s">
        <v>689</v>
      </c>
      <c r="B449" s="1" t="s">
        <v>576</v>
      </c>
      <c r="C449" s="1" t="s">
        <v>2</v>
      </c>
      <c r="D449" s="8">
        <v>140000</v>
      </c>
      <c r="E449" s="1" t="s">
        <v>690</v>
      </c>
      <c r="F449" s="1" t="s">
        <v>11</v>
      </c>
      <c r="G449" s="1" t="s">
        <v>11</v>
      </c>
    </row>
    <row r="450" spans="1:7" x14ac:dyDescent="0.3">
      <c r="A450" s="1" t="s">
        <v>691</v>
      </c>
      <c r="B450" s="1" t="s">
        <v>576</v>
      </c>
      <c r="C450" s="1" t="s">
        <v>2</v>
      </c>
      <c r="D450" s="8">
        <v>72000</v>
      </c>
      <c r="E450" s="1" t="s">
        <v>359</v>
      </c>
      <c r="F450" s="1" t="s">
        <v>11</v>
      </c>
      <c r="G450" s="1" t="s">
        <v>11</v>
      </c>
    </row>
    <row r="451" spans="1:7" x14ac:dyDescent="0.3">
      <c r="A451" s="33" t="s">
        <v>866</v>
      </c>
      <c r="B451" s="1" t="s">
        <v>576</v>
      </c>
      <c r="C451" s="1" t="s">
        <v>2</v>
      </c>
      <c r="D451" s="8">
        <v>143000</v>
      </c>
      <c r="E451" s="1" t="s">
        <v>873</v>
      </c>
      <c r="F451" s="1" t="s">
        <v>11</v>
      </c>
      <c r="G451" s="1" t="s">
        <v>11</v>
      </c>
    </row>
    <row r="452" spans="1:7" x14ac:dyDescent="0.3">
      <c r="A452" s="1" t="s">
        <v>692</v>
      </c>
      <c r="B452" s="1" t="s">
        <v>576</v>
      </c>
      <c r="C452" s="1" t="s">
        <v>2</v>
      </c>
      <c r="D452" s="102">
        <f>390000/1.19</f>
        <v>327731.09243697481</v>
      </c>
      <c r="E452" s="1" t="s">
        <v>676</v>
      </c>
      <c r="F452" s="1" t="s">
        <v>11</v>
      </c>
      <c r="G452" s="1" t="s">
        <v>11</v>
      </c>
    </row>
    <row r="453" spans="1:7" x14ac:dyDescent="0.3">
      <c r="A453" s="1" t="s">
        <v>858</v>
      </c>
      <c r="B453" s="1" t="s">
        <v>576</v>
      </c>
      <c r="C453" s="1" t="s">
        <v>2</v>
      </c>
      <c r="D453" s="8">
        <v>99990</v>
      </c>
      <c r="E453" s="1" t="s">
        <v>873</v>
      </c>
      <c r="F453" s="1" t="s">
        <v>11</v>
      </c>
      <c r="G453" s="1" t="s">
        <v>11</v>
      </c>
    </row>
    <row r="454" spans="1:7" x14ac:dyDescent="0.3">
      <c r="A454" s="1" t="s">
        <v>861</v>
      </c>
      <c r="B454" s="1" t="s">
        <v>576</v>
      </c>
      <c r="C454" s="1" t="s">
        <v>2</v>
      </c>
      <c r="D454" s="8">
        <v>143000</v>
      </c>
      <c r="E454" s="1" t="s">
        <v>873</v>
      </c>
      <c r="F454" s="1" t="s">
        <v>11</v>
      </c>
      <c r="G454" s="1" t="s">
        <v>11</v>
      </c>
    </row>
    <row r="455" spans="1:7" x14ac:dyDescent="0.3">
      <c r="A455" s="1" t="s">
        <v>864</v>
      </c>
      <c r="B455" s="1" t="s">
        <v>576</v>
      </c>
      <c r="C455" s="1" t="s">
        <v>2</v>
      </c>
      <c r="D455" s="8">
        <v>158000</v>
      </c>
      <c r="E455" s="1" t="s">
        <v>873</v>
      </c>
      <c r="F455" s="1" t="s">
        <v>11</v>
      </c>
      <c r="G455" s="1" t="s">
        <v>11</v>
      </c>
    </row>
    <row r="456" spans="1:7" x14ac:dyDescent="0.3">
      <c r="A456" s="1" t="s">
        <v>863</v>
      </c>
      <c r="B456" s="1" t="s">
        <v>576</v>
      </c>
      <c r="C456" s="1" t="s">
        <v>2</v>
      </c>
      <c r="D456" s="8">
        <v>161000</v>
      </c>
      <c r="E456" s="1" t="s">
        <v>873</v>
      </c>
      <c r="F456" s="1" t="s">
        <v>11</v>
      </c>
      <c r="G456" s="1" t="s">
        <v>11</v>
      </c>
    </row>
    <row r="457" spans="1:7" x14ac:dyDescent="0.3">
      <c r="A457" s="1" t="s">
        <v>693</v>
      </c>
      <c r="B457" s="1" t="s">
        <v>576</v>
      </c>
      <c r="C457" s="1" t="s">
        <v>2</v>
      </c>
      <c r="D457" s="8">
        <v>260000</v>
      </c>
      <c r="E457" s="1" t="s">
        <v>694</v>
      </c>
      <c r="F457" s="1" t="s">
        <v>11</v>
      </c>
      <c r="G457" s="1" t="s">
        <v>11</v>
      </c>
    </row>
    <row r="458" spans="1:7" x14ac:dyDescent="0.3">
      <c r="A458" s="1" t="s">
        <v>695</v>
      </c>
      <c r="B458" s="1" t="s">
        <v>576</v>
      </c>
      <c r="C458" s="1" t="s">
        <v>2</v>
      </c>
      <c r="D458" s="8">
        <v>465000</v>
      </c>
      <c r="E458" s="1" t="s">
        <v>696</v>
      </c>
      <c r="F458" s="1" t="s">
        <v>11</v>
      </c>
      <c r="G458" s="1" t="s">
        <v>11</v>
      </c>
    </row>
    <row r="459" spans="1:7" x14ac:dyDescent="0.3">
      <c r="A459" s="1" t="s">
        <v>697</v>
      </c>
      <c r="B459" s="1" t="s">
        <v>576</v>
      </c>
      <c r="C459" s="1" t="s">
        <v>2</v>
      </c>
      <c r="D459" s="8">
        <v>465000</v>
      </c>
      <c r="E459" s="1" t="s">
        <v>698</v>
      </c>
      <c r="F459" s="1" t="s">
        <v>11</v>
      </c>
      <c r="G459" s="1" t="s">
        <v>11</v>
      </c>
    </row>
    <row r="460" spans="1:7" x14ac:dyDescent="0.3">
      <c r="A460" s="108" t="s">
        <v>699</v>
      </c>
      <c r="B460" s="1" t="s">
        <v>576</v>
      </c>
      <c r="C460" s="1" t="s">
        <v>2</v>
      </c>
      <c r="D460" s="8">
        <v>315000</v>
      </c>
      <c r="E460" s="1" t="s">
        <v>696</v>
      </c>
      <c r="F460" s="1" t="s">
        <v>11</v>
      </c>
      <c r="G460" s="1" t="s">
        <v>11</v>
      </c>
    </row>
    <row r="461" spans="1:7" x14ac:dyDescent="0.3">
      <c r="A461" s="1" t="s">
        <v>700</v>
      </c>
      <c r="B461" s="1" t="s">
        <v>576</v>
      </c>
      <c r="C461" s="1" t="s">
        <v>2</v>
      </c>
      <c r="D461" s="8">
        <v>56700</v>
      </c>
      <c r="E461" s="1" t="s">
        <v>701</v>
      </c>
      <c r="F461" s="1" t="s">
        <v>11</v>
      </c>
      <c r="G461" s="1" t="s">
        <v>11</v>
      </c>
    </row>
    <row r="462" spans="1:7" x14ac:dyDescent="0.3">
      <c r="A462" s="1" t="s">
        <v>702</v>
      </c>
      <c r="B462" s="1" t="s">
        <v>576</v>
      </c>
      <c r="C462" s="1" t="s">
        <v>2</v>
      </c>
      <c r="D462" s="8">
        <v>222000</v>
      </c>
      <c r="E462" s="1" t="s">
        <v>585</v>
      </c>
      <c r="F462" s="1" t="s">
        <v>11</v>
      </c>
      <c r="G462" s="1" t="s">
        <v>11</v>
      </c>
    </row>
    <row r="463" spans="1:7" x14ac:dyDescent="0.3">
      <c r="A463" s="1" t="s">
        <v>703</v>
      </c>
      <c r="B463" s="1" t="s">
        <v>576</v>
      </c>
      <c r="C463" s="1" t="s">
        <v>2</v>
      </c>
      <c r="D463" s="8">
        <v>234000</v>
      </c>
      <c r="E463" s="1" t="s">
        <v>333</v>
      </c>
      <c r="F463" s="1" t="s">
        <v>11</v>
      </c>
      <c r="G463" s="1" t="s">
        <v>11</v>
      </c>
    </row>
    <row r="464" spans="1:7" x14ac:dyDescent="0.3">
      <c r="A464" s="1" t="s">
        <v>704</v>
      </c>
      <c r="B464" s="1" t="s">
        <v>576</v>
      </c>
      <c r="C464" s="1" t="s">
        <v>2</v>
      </c>
      <c r="D464" s="8">
        <v>273000</v>
      </c>
      <c r="E464" s="1" t="s">
        <v>705</v>
      </c>
      <c r="F464" s="1" t="s">
        <v>11</v>
      </c>
      <c r="G464" s="1" t="s">
        <v>11</v>
      </c>
    </row>
    <row r="465" spans="1:7" x14ac:dyDescent="0.3">
      <c r="A465" s="1" t="s">
        <v>706</v>
      </c>
      <c r="B465" s="1" t="s">
        <v>576</v>
      </c>
      <c r="C465" s="1" t="s">
        <v>2</v>
      </c>
      <c r="D465" s="8">
        <v>705707</v>
      </c>
      <c r="E465" s="1" t="s">
        <v>694</v>
      </c>
      <c r="F465" s="1" t="s">
        <v>11</v>
      </c>
      <c r="G465" s="1" t="s">
        <v>11</v>
      </c>
    </row>
    <row r="466" spans="1:7" x14ac:dyDescent="0.3">
      <c r="A466" s="1" t="s">
        <v>707</v>
      </c>
      <c r="B466" s="1" t="s">
        <v>576</v>
      </c>
      <c r="C466" s="1" t="s">
        <v>2</v>
      </c>
      <c r="D466" s="8">
        <v>908700</v>
      </c>
      <c r="E466" s="1" t="s">
        <v>694</v>
      </c>
      <c r="F466" s="1" t="s">
        <v>11</v>
      </c>
      <c r="G466" s="1" t="s">
        <v>11</v>
      </c>
    </row>
    <row r="467" spans="1:7" x14ac:dyDescent="0.3">
      <c r="A467" s="1" t="s">
        <v>708</v>
      </c>
      <c r="B467" s="1" t="s">
        <v>576</v>
      </c>
      <c r="C467" s="1" t="s">
        <v>2</v>
      </c>
      <c r="D467" s="8">
        <v>127000</v>
      </c>
      <c r="E467" s="1" t="s">
        <v>333</v>
      </c>
      <c r="F467" s="1" t="s">
        <v>11</v>
      </c>
      <c r="G467" s="1" t="s">
        <v>11</v>
      </c>
    </row>
    <row r="468" spans="1:7" x14ac:dyDescent="0.3">
      <c r="A468" s="1" t="s">
        <v>709</v>
      </c>
      <c r="B468" s="1" t="s">
        <v>576</v>
      </c>
      <c r="C468" s="1" t="s">
        <v>2</v>
      </c>
      <c r="D468" s="8">
        <v>250000</v>
      </c>
      <c r="E468" s="1" t="s">
        <v>710</v>
      </c>
      <c r="F468" s="1" t="s">
        <v>11</v>
      </c>
      <c r="G468" s="1" t="s">
        <v>11</v>
      </c>
    </row>
    <row r="469" spans="1:7" x14ac:dyDescent="0.3">
      <c r="A469" s="1" t="s">
        <v>711</v>
      </c>
      <c r="B469" s="1" t="s">
        <v>576</v>
      </c>
      <c r="C469" s="1" t="s">
        <v>2</v>
      </c>
      <c r="D469" s="8">
        <v>350000</v>
      </c>
      <c r="E469" s="1" t="s">
        <v>359</v>
      </c>
      <c r="F469" s="1" t="s">
        <v>11</v>
      </c>
      <c r="G469" s="1" t="s">
        <v>11</v>
      </c>
    </row>
    <row r="470" spans="1:7" x14ac:dyDescent="0.3">
      <c r="A470" s="1" t="s">
        <v>712</v>
      </c>
      <c r="B470" s="1" t="s">
        <v>576</v>
      </c>
      <c r="C470" s="1" t="s">
        <v>2</v>
      </c>
      <c r="D470" s="8">
        <v>140000</v>
      </c>
      <c r="E470" s="1" t="s">
        <v>690</v>
      </c>
      <c r="F470" s="1" t="s">
        <v>11</v>
      </c>
      <c r="G470" s="1" t="s">
        <v>11</v>
      </c>
    </row>
    <row r="471" spans="1:7" x14ac:dyDescent="0.3">
      <c r="A471" s="1" t="s">
        <v>713</v>
      </c>
      <c r="B471" s="1" t="s">
        <v>576</v>
      </c>
      <c r="C471" s="1" t="s">
        <v>2</v>
      </c>
      <c r="D471" s="8">
        <v>234000</v>
      </c>
      <c r="E471" s="1" t="s">
        <v>714</v>
      </c>
      <c r="F471" s="1" t="s">
        <v>11</v>
      </c>
      <c r="G471" s="1" t="s">
        <v>11</v>
      </c>
    </row>
    <row r="472" spans="1:7" x14ac:dyDescent="0.3">
      <c r="A472" s="1" t="s">
        <v>715</v>
      </c>
      <c r="B472" s="1" t="s">
        <v>576</v>
      </c>
      <c r="C472" s="1" t="s">
        <v>2</v>
      </c>
      <c r="D472" s="8">
        <v>234000</v>
      </c>
      <c r="E472" s="1" t="s">
        <v>690</v>
      </c>
      <c r="F472" s="1" t="s">
        <v>11</v>
      </c>
      <c r="G472" s="1" t="s">
        <v>11</v>
      </c>
    </row>
    <row r="473" spans="1:7" x14ac:dyDescent="0.3">
      <c r="A473" s="1" t="s">
        <v>716</v>
      </c>
      <c r="B473" s="1" t="s">
        <v>576</v>
      </c>
      <c r="C473" s="1" t="s">
        <v>2</v>
      </c>
      <c r="D473" s="8">
        <v>270000</v>
      </c>
      <c r="E473" s="1" t="s">
        <v>690</v>
      </c>
      <c r="F473" s="1" t="s">
        <v>11</v>
      </c>
      <c r="G473" s="1" t="s">
        <v>11</v>
      </c>
    </row>
    <row r="474" spans="1:7" x14ac:dyDescent="0.3">
      <c r="A474" s="1" t="s">
        <v>862</v>
      </c>
      <c r="B474" s="1" t="s">
        <v>576</v>
      </c>
      <c r="C474" s="1" t="s">
        <v>2</v>
      </c>
      <c r="D474" s="8">
        <v>240000</v>
      </c>
      <c r="E474" s="1" t="s">
        <v>873</v>
      </c>
      <c r="F474" s="1" t="s">
        <v>11</v>
      </c>
      <c r="G474" s="1" t="s">
        <v>11</v>
      </c>
    </row>
    <row r="475" spans="1:7" x14ac:dyDescent="0.3">
      <c r="A475" s="1" t="s">
        <v>859</v>
      </c>
      <c r="B475" s="1" t="s">
        <v>576</v>
      </c>
      <c r="C475" s="1" t="s">
        <v>2</v>
      </c>
      <c r="D475" s="8">
        <v>240000</v>
      </c>
      <c r="E475" s="1" t="s">
        <v>873</v>
      </c>
      <c r="F475" s="1" t="s">
        <v>11</v>
      </c>
      <c r="G475" s="1" t="s">
        <v>11</v>
      </c>
    </row>
    <row r="476" spans="1:7" x14ac:dyDescent="0.3">
      <c r="A476" s="1" t="s">
        <v>867</v>
      </c>
      <c r="B476" s="1" t="s">
        <v>576</v>
      </c>
      <c r="C476" s="1" t="s">
        <v>2</v>
      </c>
      <c r="D476" s="8">
        <v>147000</v>
      </c>
      <c r="E476" s="1" t="s">
        <v>873</v>
      </c>
      <c r="F476" s="1" t="s">
        <v>11</v>
      </c>
      <c r="G476" s="1" t="s">
        <v>11</v>
      </c>
    </row>
    <row r="477" spans="1:7" x14ac:dyDescent="0.3">
      <c r="A477" s="1" t="s">
        <v>717</v>
      </c>
      <c r="B477" s="1" t="s">
        <v>576</v>
      </c>
      <c r="C477" s="1" t="s">
        <v>2</v>
      </c>
      <c r="D477" s="8">
        <v>830000</v>
      </c>
      <c r="E477" s="1" t="s">
        <v>651</v>
      </c>
      <c r="F477" s="1" t="s">
        <v>11</v>
      </c>
      <c r="G477" s="1" t="s">
        <v>11</v>
      </c>
    </row>
    <row r="478" spans="1:7" x14ac:dyDescent="0.3">
      <c r="A478" s="1" t="s">
        <v>718</v>
      </c>
      <c r="B478" s="1" t="s">
        <v>576</v>
      </c>
      <c r="C478" s="1" t="s">
        <v>2</v>
      </c>
      <c r="D478" s="8">
        <v>423000</v>
      </c>
      <c r="E478" s="1" t="s">
        <v>719</v>
      </c>
      <c r="F478" s="1" t="s">
        <v>11</v>
      </c>
      <c r="G478" s="1" t="s">
        <v>11</v>
      </c>
    </row>
    <row r="479" spans="1:7" x14ac:dyDescent="0.3">
      <c r="A479" s="1" t="s">
        <v>720</v>
      </c>
      <c r="B479" s="1" t="s">
        <v>576</v>
      </c>
      <c r="C479" s="1" t="s">
        <v>2</v>
      </c>
      <c r="D479" s="8">
        <v>180000</v>
      </c>
      <c r="E479" s="1" t="s">
        <v>435</v>
      </c>
      <c r="F479" s="1" t="s">
        <v>11</v>
      </c>
      <c r="G479" s="1" t="s">
        <v>11</v>
      </c>
    </row>
    <row r="480" spans="1:7" x14ac:dyDescent="0.3">
      <c r="A480" s="1" t="s">
        <v>721</v>
      </c>
      <c r="B480" s="1" t="s">
        <v>576</v>
      </c>
      <c r="C480" s="1" t="s">
        <v>2</v>
      </c>
      <c r="D480" s="8">
        <v>115000</v>
      </c>
      <c r="E480" s="1" t="s">
        <v>722</v>
      </c>
      <c r="F480" s="1" t="s">
        <v>11</v>
      </c>
      <c r="G480" s="1" t="s">
        <v>11</v>
      </c>
    </row>
    <row r="481" spans="1:7" x14ac:dyDescent="0.3">
      <c r="A481" t="s">
        <v>723</v>
      </c>
      <c r="B481" s="1" t="s">
        <v>576</v>
      </c>
      <c r="C481" s="1" t="s">
        <v>2</v>
      </c>
      <c r="D481" s="8">
        <v>115500</v>
      </c>
      <c r="E481" s="1" t="s">
        <v>724</v>
      </c>
      <c r="F481" s="1" t="s">
        <v>11</v>
      </c>
      <c r="G481" s="1" t="s">
        <v>11</v>
      </c>
    </row>
    <row r="482" spans="1:7" x14ac:dyDescent="0.3">
      <c r="A482" s="1" t="s">
        <v>725</v>
      </c>
      <c r="B482" s="1" t="s">
        <v>576</v>
      </c>
      <c r="C482" s="1" t="s">
        <v>2</v>
      </c>
      <c r="D482" s="8">
        <v>122000</v>
      </c>
      <c r="E482" s="1" t="s">
        <v>333</v>
      </c>
      <c r="F482" s="1" t="s">
        <v>11</v>
      </c>
      <c r="G482" s="1" t="s">
        <v>11</v>
      </c>
    </row>
    <row r="483" spans="1:7" x14ac:dyDescent="0.3">
      <c r="A483" s="1" t="s">
        <v>726</v>
      </c>
      <c r="B483" s="1" t="s">
        <v>576</v>
      </c>
      <c r="C483" s="1" t="s">
        <v>2</v>
      </c>
      <c r="D483" s="8">
        <v>240000</v>
      </c>
      <c r="E483" s="1" t="s">
        <v>701</v>
      </c>
      <c r="F483" s="1" t="s">
        <v>11</v>
      </c>
      <c r="G483" s="1" t="s">
        <v>11</v>
      </c>
    </row>
    <row r="484" spans="1:7" x14ac:dyDescent="0.3">
      <c r="A484" s="1" t="s">
        <v>727</v>
      </c>
      <c r="B484" s="1" t="s">
        <v>576</v>
      </c>
      <c r="C484" s="1" t="s">
        <v>2</v>
      </c>
      <c r="D484" s="8">
        <v>210000</v>
      </c>
      <c r="E484" s="1" t="s">
        <v>724</v>
      </c>
      <c r="F484" s="1" t="s">
        <v>11</v>
      </c>
      <c r="G484" s="1" t="s">
        <v>11</v>
      </c>
    </row>
    <row r="485" spans="1:7" x14ac:dyDescent="0.3">
      <c r="A485" s="1" t="s">
        <v>728</v>
      </c>
      <c r="B485" s="1" t="s">
        <v>576</v>
      </c>
      <c r="C485" s="1" t="s">
        <v>2</v>
      </c>
      <c r="D485" s="8">
        <v>730000</v>
      </c>
      <c r="E485" s="1" t="s">
        <v>729</v>
      </c>
      <c r="F485" s="1" t="s">
        <v>11</v>
      </c>
      <c r="G485" s="1" t="s">
        <v>11</v>
      </c>
    </row>
    <row r="486" spans="1:7" x14ac:dyDescent="0.3">
      <c r="A486" s="1" t="s">
        <v>868</v>
      </c>
      <c r="B486" s="1" t="s">
        <v>576</v>
      </c>
      <c r="C486" s="1" t="s">
        <v>2</v>
      </c>
      <c r="D486" s="8">
        <v>325000</v>
      </c>
      <c r="E486" s="1" t="s">
        <v>873</v>
      </c>
      <c r="F486" s="1" t="s">
        <v>11</v>
      </c>
      <c r="G486" s="1" t="s">
        <v>11</v>
      </c>
    </row>
    <row r="487" spans="1:7" x14ac:dyDescent="0.3">
      <c r="A487" s="1" t="s">
        <v>869</v>
      </c>
      <c r="B487" s="1" t="s">
        <v>576</v>
      </c>
      <c r="C487" s="1" t="s">
        <v>2</v>
      </c>
      <c r="D487" s="8">
        <v>390000</v>
      </c>
      <c r="E487" s="1" t="s">
        <v>873</v>
      </c>
      <c r="F487" s="1" t="s">
        <v>11</v>
      </c>
      <c r="G487" s="1" t="s">
        <v>11</v>
      </c>
    </row>
    <row r="488" spans="1:7" x14ac:dyDescent="0.3">
      <c r="A488" s="1" t="s">
        <v>730</v>
      </c>
      <c r="B488" s="1" t="s">
        <v>576</v>
      </c>
      <c r="C488" s="1" t="s">
        <v>2</v>
      </c>
      <c r="D488" s="8">
        <v>888833</v>
      </c>
      <c r="E488" s="1" t="s">
        <v>731</v>
      </c>
      <c r="F488" s="1" t="s">
        <v>11</v>
      </c>
      <c r="G488" s="1" t="s">
        <v>11</v>
      </c>
    </row>
    <row r="489" spans="1:7" x14ac:dyDescent="0.3">
      <c r="A489" s="1" t="s">
        <v>732</v>
      </c>
      <c r="B489" s="1" t="s">
        <v>576</v>
      </c>
      <c r="C489" s="1" t="s">
        <v>2</v>
      </c>
      <c r="D489" s="8">
        <v>635000</v>
      </c>
      <c r="E489" s="1" t="s">
        <v>701</v>
      </c>
      <c r="F489" s="1" t="s">
        <v>11</v>
      </c>
      <c r="G489" s="1" t="s">
        <v>11</v>
      </c>
    </row>
    <row r="490" spans="1:7" x14ac:dyDescent="0.3">
      <c r="A490" s="1" t="s">
        <v>733</v>
      </c>
      <c r="B490" s="1" t="s">
        <v>576</v>
      </c>
      <c r="C490" s="1" t="s">
        <v>2</v>
      </c>
      <c r="D490" s="8">
        <v>635000</v>
      </c>
      <c r="E490" s="1" t="s">
        <v>701</v>
      </c>
      <c r="F490" s="1" t="s">
        <v>11</v>
      </c>
      <c r="G490" s="1" t="s">
        <v>11</v>
      </c>
    </row>
    <row r="491" spans="1:7" x14ac:dyDescent="0.3">
      <c r="A491" s="1" t="s">
        <v>734</v>
      </c>
      <c r="B491" s="1" t="s">
        <v>576</v>
      </c>
      <c r="C491" s="1" t="s">
        <v>2</v>
      </c>
      <c r="D491" s="8">
        <v>730250</v>
      </c>
      <c r="E491" s="1" t="s">
        <v>735</v>
      </c>
      <c r="F491" s="1" t="s">
        <v>11</v>
      </c>
      <c r="G491" s="1" t="s">
        <v>11</v>
      </c>
    </row>
    <row r="492" spans="1:7" x14ac:dyDescent="0.3">
      <c r="A492" s="1" t="s">
        <v>736</v>
      </c>
      <c r="B492" s="1" t="s">
        <v>576</v>
      </c>
      <c r="C492" s="1" t="s">
        <v>2</v>
      </c>
      <c r="D492" s="8">
        <v>635000</v>
      </c>
      <c r="E492" s="1" t="s">
        <v>737</v>
      </c>
      <c r="F492" s="1" t="s">
        <v>11</v>
      </c>
      <c r="G492" s="1" t="s">
        <v>11</v>
      </c>
    </row>
    <row r="493" spans="1:7" x14ac:dyDescent="0.3">
      <c r="A493" s="1" t="s">
        <v>738</v>
      </c>
      <c r="B493" s="1" t="s">
        <v>576</v>
      </c>
      <c r="C493" s="1" t="s">
        <v>2</v>
      </c>
      <c r="D493" s="8">
        <v>882133</v>
      </c>
      <c r="E493" s="1" t="s">
        <v>739</v>
      </c>
      <c r="F493" s="1" t="s">
        <v>11</v>
      </c>
      <c r="G493" s="1" t="s">
        <v>11</v>
      </c>
    </row>
    <row r="494" spans="1:7" x14ac:dyDescent="0.3">
      <c r="A494" s="1" t="s">
        <v>740</v>
      </c>
      <c r="B494" s="1" t="s">
        <v>576</v>
      </c>
      <c r="C494" s="1" t="s">
        <v>2</v>
      </c>
      <c r="D494" s="8">
        <v>730250</v>
      </c>
      <c r="E494" s="1" t="s">
        <v>741</v>
      </c>
      <c r="F494" s="1" t="s">
        <v>11</v>
      </c>
      <c r="G494" s="1" t="s">
        <v>11</v>
      </c>
    </row>
    <row r="495" spans="1:7" x14ac:dyDescent="0.3">
      <c r="A495" s="1" t="s">
        <v>742</v>
      </c>
      <c r="B495" s="33" t="s">
        <v>576</v>
      </c>
      <c r="C495" s="1" t="s">
        <v>2</v>
      </c>
      <c r="D495" s="85">
        <v>803275</v>
      </c>
      <c r="E495" s="1" t="s">
        <v>741</v>
      </c>
      <c r="F495" s="1" t="s">
        <v>11</v>
      </c>
      <c r="G495" s="1" t="s">
        <v>11</v>
      </c>
    </row>
    <row r="496" spans="1:7" x14ac:dyDescent="0.3">
      <c r="A496" s="1" t="s">
        <v>743</v>
      </c>
      <c r="B496" s="1" t="s">
        <v>576</v>
      </c>
      <c r="C496" s="1" t="s">
        <v>2</v>
      </c>
      <c r="D496" s="8">
        <v>1160000</v>
      </c>
      <c r="E496" s="1" t="s">
        <v>165</v>
      </c>
      <c r="F496" s="1" t="s">
        <v>11</v>
      </c>
      <c r="G496" s="1" t="s">
        <v>11</v>
      </c>
    </row>
    <row r="497" spans="1:7" x14ac:dyDescent="0.3">
      <c r="A497" s="1" t="s">
        <v>744</v>
      </c>
      <c r="B497" s="1" t="s">
        <v>576</v>
      </c>
      <c r="C497" s="1" t="s">
        <v>2</v>
      </c>
      <c r="D497" s="8">
        <v>1460000</v>
      </c>
      <c r="E497" s="1" t="s">
        <v>735</v>
      </c>
      <c r="F497" s="1" t="s">
        <v>11</v>
      </c>
      <c r="G497" s="1" t="s">
        <v>11</v>
      </c>
    </row>
    <row r="498" spans="1:7" x14ac:dyDescent="0.3">
      <c r="A498" s="1" t="s">
        <v>745</v>
      </c>
      <c r="B498" s="1" t="s">
        <v>576</v>
      </c>
      <c r="C498" s="1" t="s">
        <v>2</v>
      </c>
      <c r="D498" s="8">
        <v>695000</v>
      </c>
      <c r="E498" s="1" t="s">
        <v>701</v>
      </c>
      <c r="F498" s="1" t="s">
        <v>11</v>
      </c>
      <c r="G498" s="1" t="s">
        <v>11</v>
      </c>
    </row>
    <row r="499" spans="1:7" x14ac:dyDescent="0.3">
      <c r="A499" s="1" t="s">
        <v>746</v>
      </c>
      <c r="B499" s="1" t="s">
        <v>576</v>
      </c>
      <c r="C499" s="1" t="s">
        <v>2</v>
      </c>
      <c r="D499" s="102">
        <f>943152/1.19</f>
        <v>792564.70588235301</v>
      </c>
      <c r="E499" s="1" t="s">
        <v>379</v>
      </c>
      <c r="F499" s="1" t="s">
        <v>11</v>
      </c>
      <c r="G499" s="1" t="s">
        <v>11</v>
      </c>
    </row>
    <row r="500" spans="1:7" x14ac:dyDescent="0.3">
      <c r="A500" s="1" t="s">
        <v>747</v>
      </c>
      <c r="B500" s="1" t="s">
        <v>576</v>
      </c>
      <c r="C500" s="1" t="s">
        <v>2</v>
      </c>
      <c r="D500" s="102">
        <f>873125/1.19</f>
        <v>733718.48739495804</v>
      </c>
      <c r="E500" s="1" t="s">
        <v>379</v>
      </c>
      <c r="F500" s="1" t="s">
        <v>11</v>
      </c>
      <c r="G500" s="1" t="s">
        <v>11</v>
      </c>
    </row>
    <row r="501" spans="1:7" x14ac:dyDescent="0.3">
      <c r="A501" s="1" t="s">
        <v>748</v>
      </c>
      <c r="B501" s="1" t="s">
        <v>576</v>
      </c>
      <c r="C501" s="1" t="s">
        <v>2</v>
      </c>
      <c r="D501" s="8">
        <v>634692</v>
      </c>
      <c r="E501" s="1" t="s">
        <v>749</v>
      </c>
      <c r="F501" s="1" t="s">
        <v>11</v>
      </c>
      <c r="G501" s="1" t="s">
        <v>11</v>
      </c>
    </row>
    <row r="502" spans="1:7" x14ac:dyDescent="0.3">
      <c r="A502" s="1" t="s">
        <v>750</v>
      </c>
      <c r="B502" s="1" t="s">
        <v>576</v>
      </c>
      <c r="C502" s="1" t="s">
        <v>2</v>
      </c>
      <c r="D502" s="8">
        <v>828833</v>
      </c>
      <c r="E502" s="1" t="s">
        <v>751</v>
      </c>
      <c r="F502" s="1" t="s">
        <v>11</v>
      </c>
      <c r="G502" s="1" t="s">
        <v>11</v>
      </c>
    </row>
    <row r="503" spans="1:7" x14ac:dyDescent="0.3">
      <c r="A503" s="1" t="s">
        <v>752</v>
      </c>
      <c r="B503" s="1" t="s">
        <v>576</v>
      </c>
      <c r="C503" s="1" t="s">
        <v>2</v>
      </c>
      <c r="D503" s="8">
        <v>888833</v>
      </c>
      <c r="E503" s="1" t="s">
        <v>753</v>
      </c>
      <c r="F503" s="1" t="s">
        <v>11</v>
      </c>
      <c r="G503" s="1" t="s">
        <v>11</v>
      </c>
    </row>
    <row r="504" spans="1:7" x14ac:dyDescent="0.3">
      <c r="A504" s="1" t="s">
        <v>754</v>
      </c>
      <c r="B504" s="1" t="s">
        <v>576</v>
      </c>
      <c r="C504" s="1" t="s">
        <v>2</v>
      </c>
      <c r="D504" s="8">
        <v>828833</v>
      </c>
      <c r="E504" s="1" t="s">
        <v>753</v>
      </c>
      <c r="F504" s="1" t="s">
        <v>11</v>
      </c>
      <c r="G504" s="1" t="s">
        <v>11</v>
      </c>
    </row>
    <row r="505" spans="1:7" x14ac:dyDescent="0.3">
      <c r="A505" s="1" t="s">
        <v>755</v>
      </c>
      <c r="B505" s="1" t="s">
        <v>576</v>
      </c>
      <c r="C505" s="1" t="s">
        <v>2</v>
      </c>
      <c r="D505" s="8">
        <v>883602</v>
      </c>
      <c r="E505" s="1" t="s">
        <v>753</v>
      </c>
      <c r="F505" s="1" t="s">
        <v>11</v>
      </c>
      <c r="G505" s="1" t="s">
        <v>11</v>
      </c>
    </row>
    <row r="506" spans="1:7" x14ac:dyDescent="0.3">
      <c r="A506" s="1" t="s">
        <v>756</v>
      </c>
      <c r="B506" s="1" t="s">
        <v>576</v>
      </c>
      <c r="C506" s="1" t="s">
        <v>2</v>
      </c>
      <c r="D506" s="8">
        <v>1131887</v>
      </c>
      <c r="E506" s="1" t="s">
        <v>753</v>
      </c>
      <c r="F506" s="1" t="s">
        <v>11</v>
      </c>
      <c r="G506" s="1" t="s">
        <v>11</v>
      </c>
    </row>
  </sheetData>
  <sheetProtection algorithmName="SHA-512" hashValue="r9BgCcz3ifojlkHaDY44bLzYXHRjCOo7t/qjub8ZSQE1jpYZRPOGmWVcqqOGUODlr/bQzZp8ZUeJ7FA/Nj08/g==" saltValue="aaDwxxYEH8HNsdpjnk5L2A==" spinCount="100000" sheet="1" objects="1" scenarios="1"/>
  <protectedRanges>
    <protectedRange sqref="A31" name="categorias y item"/>
    <protectedRange sqref="A32" name="categorias y item_1"/>
  </protectedRanges>
  <autoFilter ref="A1:G506" xr:uid="{0F784CD2-7011-49BD-874D-85A0E4633FC7}"/>
  <sortState xmlns:xlrd2="http://schemas.microsoft.com/office/spreadsheetml/2017/richdata2" ref="A2:H506">
    <sortCondition ref="B2:B506"/>
    <sortCondition ref="A2:A506"/>
  </sortState>
  <dataValidations count="1">
    <dataValidation type="list" allowBlank="1" showInputMessage="1" showErrorMessage="1" sqref="A31:A32" xr:uid="{8173A852-685E-4E3E-A4B4-A7406CE1C09A}">
      <formula1>INDIRECT(XFD31)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473D-A53B-458D-BB25-2B2D6D6A6E1D}">
  <sheetPr>
    <tabColor theme="8" tint="0.59999389629810485"/>
  </sheetPr>
  <dimension ref="A1:Y91"/>
  <sheetViews>
    <sheetView topLeftCell="B21" workbookViewId="0">
      <selection activeCell="D5" sqref="D5"/>
    </sheetView>
  </sheetViews>
  <sheetFormatPr baseColWidth="10" defaultColWidth="11.44140625" defaultRowHeight="14.4" x14ac:dyDescent="0.3"/>
  <cols>
    <col min="1" max="1" width="16.33203125" bestFit="1" customWidth="1"/>
    <col min="2" max="2" width="57.88671875" bestFit="1" customWidth="1"/>
    <col min="3" max="3" width="37.33203125" bestFit="1" customWidth="1"/>
    <col min="4" max="4" width="46.33203125" bestFit="1" customWidth="1"/>
    <col min="5" max="5" width="24.5546875" bestFit="1" customWidth="1"/>
    <col min="6" max="6" width="93.88671875" bestFit="1" customWidth="1"/>
    <col min="7" max="7" width="43.88671875" bestFit="1" customWidth="1"/>
    <col min="8" max="8" width="33" bestFit="1" customWidth="1"/>
    <col min="9" max="9" width="33" customWidth="1"/>
    <col min="10" max="10" width="47" bestFit="1" customWidth="1"/>
    <col min="11" max="11" width="30.109375" bestFit="1" customWidth="1"/>
    <col min="12" max="12" width="30.109375" customWidth="1"/>
    <col min="13" max="13" width="27.33203125" bestFit="1" customWidth="1"/>
    <col min="14" max="14" width="23.109375" bestFit="1" customWidth="1"/>
    <col min="15" max="15" width="49.6640625" bestFit="1" customWidth="1"/>
    <col min="16" max="16" width="36.109375" bestFit="1" customWidth="1"/>
    <col min="17" max="17" width="37.44140625" bestFit="1" customWidth="1"/>
    <col min="18" max="18" width="45" bestFit="1" customWidth="1"/>
    <col min="19" max="19" width="40.33203125" bestFit="1" customWidth="1"/>
    <col min="20" max="20" width="40.33203125" customWidth="1"/>
    <col min="21" max="21" width="38.5546875" bestFit="1" customWidth="1"/>
    <col min="22" max="22" width="38.5546875" customWidth="1"/>
    <col min="23" max="23" width="34.5546875" bestFit="1" customWidth="1"/>
    <col min="24" max="24" width="38" bestFit="1" customWidth="1"/>
    <col min="25" max="25" width="82.6640625" bestFit="1" customWidth="1"/>
  </cols>
  <sheetData>
    <row r="1" spans="1:25" x14ac:dyDescent="0.3">
      <c r="A1" t="s">
        <v>757</v>
      </c>
      <c r="B1" t="s">
        <v>9</v>
      </c>
      <c r="C1" t="s">
        <v>59</v>
      </c>
      <c r="D1" t="s">
        <v>78</v>
      </c>
      <c r="E1" t="s">
        <v>130</v>
      </c>
      <c r="F1" t="s">
        <v>133</v>
      </c>
      <c r="G1" t="s">
        <v>188</v>
      </c>
      <c r="H1" t="s">
        <v>275</v>
      </c>
      <c r="I1" t="s">
        <v>291</v>
      </c>
      <c r="J1" t="s">
        <v>199</v>
      </c>
      <c r="K1" t="s">
        <v>249</v>
      </c>
      <c r="L1" t="s">
        <v>258</v>
      </c>
      <c r="M1" t="s">
        <v>271</v>
      </c>
      <c r="N1" t="s">
        <v>294</v>
      </c>
      <c r="O1" t="s">
        <v>297</v>
      </c>
      <c r="P1" t="s">
        <v>325</v>
      </c>
      <c r="Q1" t="s">
        <v>349</v>
      </c>
      <c r="R1" t="s">
        <v>416</v>
      </c>
      <c r="S1" t="s">
        <v>451</v>
      </c>
      <c r="T1" t="s">
        <v>758</v>
      </c>
      <c r="U1" t="s">
        <v>558</v>
      </c>
      <c r="V1" t="s">
        <v>563</v>
      </c>
      <c r="W1" t="s">
        <v>566</v>
      </c>
      <c r="X1" t="s">
        <v>572</v>
      </c>
      <c r="Y1" t="s">
        <v>576</v>
      </c>
    </row>
    <row r="2" spans="1:25" x14ac:dyDescent="0.3">
      <c r="A2" t="s">
        <v>9</v>
      </c>
      <c r="B2" t="s">
        <v>58</v>
      </c>
      <c r="C2" t="s">
        <v>58</v>
      </c>
      <c r="D2" t="s">
        <v>77</v>
      </c>
      <c r="E2" t="s">
        <v>129</v>
      </c>
      <c r="F2" t="s">
        <v>132</v>
      </c>
      <c r="G2" t="s">
        <v>187</v>
      </c>
      <c r="H2" t="s">
        <v>759</v>
      </c>
      <c r="I2" s="3" t="s">
        <v>290</v>
      </c>
      <c r="J2" t="s">
        <v>198</v>
      </c>
      <c r="K2" t="s">
        <v>248</v>
      </c>
      <c r="L2" t="s">
        <v>257</v>
      </c>
      <c r="M2" t="s">
        <v>270</v>
      </c>
      <c r="N2" t="s">
        <v>293</v>
      </c>
      <c r="O2" t="s">
        <v>296</v>
      </c>
      <c r="P2" t="s">
        <v>324</v>
      </c>
      <c r="Q2" t="s">
        <v>348</v>
      </c>
      <c r="R2" t="s">
        <v>415</v>
      </c>
      <c r="S2" t="s">
        <v>450</v>
      </c>
      <c r="T2" s="11" t="s">
        <v>525</v>
      </c>
      <c r="U2" t="s">
        <v>557</v>
      </c>
      <c r="V2" t="s">
        <v>562</v>
      </c>
      <c r="W2" t="s">
        <v>565</v>
      </c>
      <c r="X2" t="s">
        <v>571</v>
      </c>
      <c r="Y2" s="1" t="s">
        <v>646</v>
      </c>
    </row>
    <row r="3" spans="1:25" x14ac:dyDescent="0.3">
      <c r="A3" t="s">
        <v>59</v>
      </c>
      <c r="B3" t="s">
        <v>8</v>
      </c>
      <c r="C3" t="s">
        <v>62</v>
      </c>
      <c r="D3" t="s">
        <v>80</v>
      </c>
      <c r="F3" t="s">
        <v>135</v>
      </c>
      <c r="G3" t="s">
        <v>190</v>
      </c>
      <c r="H3" t="s">
        <v>279</v>
      </c>
      <c r="J3" t="s">
        <v>201</v>
      </c>
      <c r="K3" t="s">
        <v>250</v>
      </c>
      <c r="L3" t="s">
        <v>260</v>
      </c>
      <c r="M3" t="s">
        <v>272</v>
      </c>
      <c r="O3" t="s">
        <v>299</v>
      </c>
      <c r="P3" t="s">
        <v>329</v>
      </c>
      <c r="Q3" t="s">
        <v>351</v>
      </c>
      <c r="R3" t="s">
        <v>418</v>
      </c>
      <c r="S3" t="s">
        <v>452</v>
      </c>
      <c r="U3" t="s">
        <v>559</v>
      </c>
      <c r="V3" s="3" t="s">
        <v>855</v>
      </c>
      <c r="W3" t="s">
        <v>567</v>
      </c>
      <c r="X3" t="s">
        <v>574</v>
      </c>
      <c r="Y3" s="1" t="s">
        <v>648</v>
      </c>
    </row>
    <row r="4" spans="1:25" x14ac:dyDescent="0.3">
      <c r="A4" t="s">
        <v>78</v>
      </c>
      <c r="B4" t="s">
        <v>12</v>
      </c>
      <c r="C4" t="s">
        <v>760</v>
      </c>
      <c r="D4" t="s">
        <v>82</v>
      </c>
      <c r="F4" t="s">
        <v>137</v>
      </c>
      <c r="G4" t="s">
        <v>192</v>
      </c>
      <c r="H4" t="s">
        <v>281</v>
      </c>
      <c r="J4" t="s">
        <v>202</v>
      </c>
      <c r="K4" t="s">
        <v>251</v>
      </c>
      <c r="L4" t="s">
        <v>262</v>
      </c>
      <c r="M4" t="s">
        <v>273</v>
      </c>
      <c r="O4" t="s">
        <v>301</v>
      </c>
      <c r="P4" t="s">
        <v>46</v>
      </c>
      <c r="Q4" t="s">
        <v>353</v>
      </c>
      <c r="R4" t="s">
        <v>420</v>
      </c>
      <c r="S4" s="1" t="s">
        <v>453</v>
      </c>
      <c r="U4" t="s">
        <v>560</v>
      </c>
      <c r="W4" s="1" t="s">
        <v>568</v>
      </c>
      <c r="X4" t="s">
        <v>579</v>
      </c>
      <c r="Y4" s="1" t="s">
        <v>650</v>
      </c>
    </row>
    <row r="5" spans="1:25" x14ac:dyDescent="0.3">
      <c r="A5" t="s">
        <v>130</v>
      </c>
      <c r="B5" t="s">
        <v>14</v>
      </c>
      <c r="C5" s="33" t="s">
        <v>761</v>
      </c>
      <c r="D5" t="s">
        <v>84</v>
      </c>
      <c r="F5" t="s">
        <v>139</v>
      </c>
      <c r="G5" t="s">
        <v>194</v>
      </c>
      <c r="H5" t="s">
        <v>283</v>
      </c>
      <c r="J5" t="s">
        <v>203</v>
      </c>
      <c r="K5" s="1" t="s">
        <v>762</v>
      </c>
      <c r="L5" t="s">
        <v>264</v>
      </c>
      <c r="O5" t="s">
        <v>302</v>
      </c>
      <c r="P5" t="s">
        <v>331</v>
      </c>
      <c r="Q5" t="s">
        <v>354</v>
      </c>
      <c r="R5" t="s">
        <v>421</v>
      </c>
      <c r="S5" t="s">
        <v>454</v>
      </c>
      <c r="U5" t="s">
        <v>561</v>
      </c>
      <c r="W5" t="s">
        <v>569</v>
      </c>
      <c r="X5" t="s">
        <v>581</v>
      </c>
      <c r="Y5" s="1" t="s">
        <v>652</v>
      </c>
    </row>
    <row r="6" spans="1:25" x14ac:dyDescent="0.3">
      <c r="A6" t="s">
        <v>133</v>
      </c>
      <c r="B6" t="s">
        <v>17</v>
      </c>
      <c r="C6" s="33" t="s">
        <v>763</v>
      </c>
      <c r="D6" t="s">
        <v>86</v>
      </c>
      <c r="F6" t="s">
        <v>143</v>
      </c>
      <c r="G6" t="s">
        <v>196</v>
      </c>
      <c r="H6" t="s">
        <v>764</v>
      </c>
      <c r="J6" t="s">
        <v>204</v>
      </c>
      <c r="K6" s="3" t="s">
        <v>252</v>
      </c>
      <c r="L6" s="33" t="s">
        <v>266</v>
      </c>
      <c r="O6" t="s">
        <v>304</v>
      </c>
      <c r="P6" t="s">
        <v>332</v>
      </c>
      <c r="Q6" t="s">
        <v>355</v>
      </c>
      <c r="R6" t="s">
        <v>423</v>
      </c>
      <c r="S6" t="s">
        <v>456</v>
      </c>
      <c r="X6" t="s">
        <v>583</v>
      </c>
      <c r="Y6" s="1" t="s">
        <v>874</v>
      </c>
    </row>
    <row r="7" spans="1:25" x14ac:dyDescent="0.3">
      <c r="A7" t="s">
        <v>188</v>
      </c>
      <c r="B7" t="s">
        <v>18</v>
      </c>
      <c r="C7" s="33" t="s">
        <v>765</v>
      </c>
      <c r="D7" t="s">
        <v>88</v>
      </c>
      <c r="F7" t="s">
        <v>766</v>
      </c>
      <c r="H7" t="s">
        <v>286</v>
      </c>
      <c r="J7" t="s">
        <v>205</v>
      </c>
      <c r="K7" t="s">
        <v>254</v>
      </c>
      <c r="L7" t="s">
        <v>268</v>
      </c>
      <c r="O7" t="s">
        <v>306</v>
      </c>
      <c r="P7" s="1" t="s">
        <v>334</v>
      </c>
      <c r="Q7" t="s">
        <v>357</v>
      </c>
      <c r="R7" t="s">
        <v>424</v>
      </c>
      <c r="S7" t="s">
        <v>458</v>
      </c>
      <c r="X7" t="s">
        <v>584</v>
      </c>
      <c r="Y7" s="1" t="s">
        <v>578</v>
      </c>
    </row>
    <row r="8" spans="1:25" x14ac:dyDescent="0.3">
      <c r="A8" t="s">
        <v>199</v>
      </c>
      <c r="B8" t="s">
        <v>19</v>
      </c>
      <c r="C8" s="33" t="s">
        <v>767</v>
      </c>
      <c r="D8" t="s">
        <v>89</v>
      </c>
      <c r="F8" t="s">
        <v>145</v>
      </c>
      <c r="H8" t="s">
        <v>288</v>
      </c>
      <c r="J8" s="1" t="s">
        <v>207</v>
      </c>
      <c r="K8" s="1" t="s">
        <v>255</v>
      </c>
      <c r="O8" t="s">
        <v>309</v>
      </c>
      <c r="P8" s="3" t="s">
        <v>336</v>
      </c>
      <c r="Q8" t="s">
        <v>358</v>
      </c>
      <c r="R8" t="s">
        <v>425</v>
      </c>
      <c r="S8" t="s">
        <v>460</v>
      </c>
      <c r="X8" s="1" t="s">
        <v>586</v>
      </c>
      <c r="Y8" s="1" t="s">
        <v>870</v>
      </c>
    </row>
    <row r="9" spans="1:25" x14ac:dyDescent="0.3">
      <c r="A9" t="s">
        <v>249</v>
      </c>
      <c r="B9" t="s">
        <v>20</v>
      </c>
      <c r="C9" s="33" t="s">
        <v>71</v>
      </c>
      <c r="D9" t="s">
        <v>91</v>
      </c>
      <c r="F9" t="s">
        <v>147</v>
      </c>
      <c r="H9" t="s">
        <v>289</v>
      </c>
      <c r="J9" s="1" t="s">
        <v>209</v>
      </c>
      <c r="K9" s="3" t="s">
        <v>256</v>
      </c>
      <c r="O9" t="s">
        <v>310</v>
      </c>
      <c r="P9" t="s">
        <v>339</v>
      </c>
      <c r="Q9" t="s">
        <v>360</v>
      </c>
      <c r="R9" t="s">
        <v>426</v>
      </c>
      <c r="S9" t="s">
        <v>462</v>
      </c>
      <c r="X9" t="s">
        <v>588</v>
      </c>
      <c r="Y9" s="1" t="s">
        <v>654</v>
      </c>
    </row>
    <row r="10" spans="1:25" x14ac:dyDescent="0.3">
      <c r="A10" t="s">
        <v>258</v>
      </c>
      <c r="B10" t="s">
        <v>21</v>
      </c>
      <c r="C10" s="9" t="s">
        <v>768</v>
      </c>
      <c r="D10" t="s">
        <v>93</v>
      </c>
      <c r="F10" t="s">
        <v>871</v>
      </c>
      <c r="J10" t="s">
        <v>211</v>
      </c>
      <c r="O10" t="s">
        <v>311</v>
      </c>
      <c r="P10" s="3" t="s">
        <v>341</v>
      </c>
      <c r="Q10" t="s">
        <v>361</v>
      </c>
      <c r="R10" t="s">
        <v>427</v>
      </c>
      <c r="S10" s="1" t="s">
        <v>464</v>
      </c>
      <c r="X10" t="s">
        <v>590</v>
      </c>
      <c r="Y10" s="1" t="s">
        <v>655</v>
      </c>
    </row>
    <row r="11" spans="1:25" x14ac:dyDescent="0.3">
      <c r="A11" t="s">
        <v>271</v>
      </c>
      <c r="B11" t="s">
        <v>23</v>
      </c>
      <c r="C11" s="9" t="s">
        <v>769</v>
      </c>
      <c r="D11" t="s">
        <v>327</v>
      </c>
      <c r="F11" t="s">
        <v>148</v>
      </c>
      <c r="J11" t="s">
        <v>213</v>
      </c>
      <c r="O11" t="s">
        <v>312</v>
      </c>
      <c r="P11" t="s">
        <v>345</v>
      </c>
      <c r="Q11" s="1" t="s">
        <v>362</v>
      </c>
      <c r="R11" t="s">
        <v>428</v>
      </c>
      <c r="S11" t="s">
        <v>466</v>
      </c>
      <c r="X11" t="s">
        <v>592</v>
      </c>
      <c r="Y11" s="1" t="s">
        <v>575</v>
      </c>
    </row>
    <row r="12" spans="1:25" x14ac:dyDescent="0.3">
      <c r="A12" t="s">
        <v>275</v>
      </c>
      <c r="B12" t="s">
        <v>25</v>
      </c>
      <c r="C12" s="9" t="s">
        <v>770</v>
      </c>
      <c r="D12" t="s">
        <v>94</v>
      </c>
      <c r="F12" t="s">
        <v>150</v>
      </c>
      <c r="J12" t="s">
        <v>215</v>
      </c>
      <c r="O12" t="s">
        <v>313</v>
      </c>
      <c r="Q12" t="s">
        <v>364</v>
      </c>
      <c r="R12" t="s">
        <v>430</v>
      </c>
      <c r="S12" t="s">
        <v>467</v>
      </c>
      <c r="X12" t="s">
        <v>771</v>
      </c>
      <c r="Y12" s="1" t="s">
        <v>658</v>
      </c>
    </row>
    <row r="13" spans="1:25" x14ac:dyDescent="0.3">
      <c r="A13" t="s">
        <v>291</v>
      </c>
      <c r="B13" t="s">
        <v>27</v>
      </c>
      <c r="C13" s="9" t="s">
        <v>772</v>
      </c>
      <c r="D13" t="s">
        <v>95</v>
      </c>
      <c r="F13" t="s">
        <v>152</v>
      </c>
      <c r="J13" t="s">
        <v>216</v>
      </c>
      <c r="O13" t="s">
        <v>314</v>
      </c>
      <c r="Q13" t="s">
        <v>365</v>
      </c>
      <c r="R13" t="s">
        <v>431</v>
      </c>
      <c r="S13" t="s">
        <v>468</v>
      </c>
      <c r="X13" t="s">
        <v>595</v>
      </c>
      <c r="Y13" s="1" t="s">
        <v>660</v>
      </c>
    </row>
    <row r="14" spans="1:25" x14ac:dyDescent="0.3">
      <c r="A14" t="s">
        <v>294</v>
      </c>
      <c r="B14" s="11" t="s">
        <v>29</v>
      </c>
      <c r="C14" s="11" t="s">
        <v>773</v>
      </c>
      <c r="D14" t="s">
        <v>97</v>
      </c>
      <c r="F14" t="s">
        <v>154</v>
      </c>
      <c r="J14" t="s">
        <v>218</v>
      </c>
      <c r="O14" t="s">
        <v>315</v>
      </c>
      <c r="Q14" t="s">
        <v>366</v>
      </c>
      <c r="R14" t="s">
        <v>432</v>
      </c>
      <c r="S14" t="s">
        <v>469</v>
      </c>
      <c r="X14" s="1" t="s">
        <v>597</v>
      </c>
      <c r="Y14" s="1" t="s">
        <v>661</v>
      </c>
    </row>
    <row r="15" spans="1:25" x14ac:dyDescent="0.3">
      <c r="A15" t="s">
        <v>297</v>
      </c>
      <c r="B15" t="s">
        <v>774</v>
      </c>
      <c r="D15" t="s">
        <v>99</v>
      </c>
      <c r="F15" t="s">
        <v>156</v>
      </c>
      <c r="J15" t="s">
        <v>219</v>
      </c>
      <c r="O15" t="s">
        <v>316</v>
      </c>
      <c r="Q15" t="s">
        <v>367</v>
      </c>
      <c r="R15" t="s">
        <v>433</v>
      </c>
      <c r="S15" t="s">
        <v>470</v>
      </c>
      <c r="X15" s="3" t="s">
        <v>598</v>
      </c>
      <c r="Y15" s="1" t="s">
        <v>663</v>
      </c>
    </row>
    <row r="16" spans="1:25" x14ac:dyDescent="0.3">
      <c r="A16" t="s">
        <v>325</v>
      </c>
      <c r="B16" s="9" t="s">
        <v>30</v>
      </c>
      <c r="D16" t="s">
        <v>101</v>
      </c>
      <c r="F16" s="3" t="s">
        <v>158</v>
      </c>
      <c r="J16" t="s">
        <v>221</v>
      </c>
      <c r="O16" t="s">
        <v>317</v>
      </c>
      <c r="Q16" t="s">
        <v>369</v>
      </c>
      <c r="R16" t="s">
        <v>434</v>
      </c>
      <c r="S16" t="s">
        <v>472</v>
      </c>
      <c r="X16" s="3" t="s">
        <v>599</v>
      </c>
      <c r="Y16" s="1" t="s">
        <v>665</v>
      </c>
    </row>
    <row r="17" spans="1:25" x14ac:dyDescent="0.3">
      <c r="A17" t="s">
        <v>349</v>
      </c>
      <c r="B17" s="3" t="s">
        <v>32</v>
      </c>
      <c r="D17" t="s">
        <v>103</v>
      </c>
      <c r="F17" s="3" t="s">
        <v>160</v>
      </c>
      <c r="J17" t="s">
        <v>222</v>
      </c>
      <c r="O17" t="s">
        <v>319</v>
      </c>
      <c r="Q17" t="s">
        <v>371</v>
      </c>
      <c r="R17" t="s">
        <v>436</v>
      </c>
      <c r="S17" t="s">
        <v>473</v>
      </c>
      <c r="X17" s="3" t="s">
        <v>601</v>
      </c>
      <c r="Y17" s="1" t="s">
        <v>667</v>
      </c>
    </row>
    <row r="18" spans="1:25" x14ac:dyDescent="0.3">
      <c r="A18" t="s">
        <v>416</v>
      </c>
      <c r="B18" t="s">
        <v>34</v>
      </c>
      <c r="D18" t="s">
        <v>105</v>
      </c>
      <c r="F18" s="3" t="s">
        <v>162</v>
      </c>
      <c r="J18" t="s">
        <v>223</v>
      </c>
      <c r="O18" t="s">
        <v>320</v>
      </c>
      <c r="Q18" t="s">
        <v>372</v>
      </c>
      <c r="R18" t="s">
        <v>437</v>
      </c>
      <c r="S18" t="s">
        <v>474</v>
      </c>
      <c r="X18" s="3" t="s">
        <v>607</v>
      </c>
      <c r="Y18" s="1" t="s">
        <v>668</v>
      </c>
    </row>
    <row r="19" spans="1:25" x14ac:dyDescent="0.3">
      <c r="A19" t="s">
        <v>451</v>
      </c>
      <c r="B19" s="3" t="s">
        <v>35</v>
      </c>
      <c r="D19" t="s">
        <v>106</v>
      </c>
      <c r="F19" s="3" t="s">
        <v>164</v>
      </c>
      <c r="J19" t="s">
        <v>224</v>
      </c>
      <c r="O19" s="3" t="s">
        <v>321</v>
      </c>
      <c r="Q19" t="s">
        <v>374</v>
      </c>
      <c r="R19" t="s">
        <v>438</v>
      </c>
      <c r="S19" t="s">
        <v>475</v>
      </c>
      <c r="X19" s="3" t="s">
        <v>609</v>
      </c>
      <c r="Y19" s="1" t="s">
        <v>669</v>
      </c>
    </row>
    <row r="20" spans="1:25" x14ac:dyDescent="0.3">
      <c r="A20" t="s">
        <v>758</v>
      </c>
      <c r="B20" s="3" t="s">
        <v>37</v>
      </c>
      <c r="D20" s="70" t="s">
        <v>107</v>
      </c>
      <c r="F20" s="3" t="s">
        <v>166</v>
      </c>
      <c r="J20" t="s">
        <v>226</v>
      </c>
      <c r="O20" s="3" t="s">
        <v>322</v>
      </c>
      <c r="Q20" t="s">
        <v>376</v>
      </c>
      <c r="R20" t="s">
        <v>439</v>
      </c>
      <c r="S20" t="s">
        <v>476</v>
      </c>
      <c r="X20" t="s">
        <v>611</v>
      </c>
      <c r="Y20" s="1" t="s">
        <v>670</v>
      </c>
    </row>
    <row r="21" spans="1:25" x14ac:dyDescent="0.3">
      <c r="A21" t="s">
        <v>558</v>
      </c>
      <c r="B21" s="1" t="s">
        <v>38</v>
      </c>
      <c r="D21" t="s">
        <v>109</v>
      </c>
      <c r="F21" s="3" t="s">
        <v>168</v>
      </c>
      <c r="J21" t="s">
        <v>227</v>
      </c>
      <c r="Q21" t="s">
        <v>378</v>
      </c>
      <c r="R21" t="s">
        <v>441</v>
      </c>
      <c r="S21" t="s">
        <v>478</v>
      </c>
      <c r="X21" s="3" t="s">
        <v>613</v>
      </c>
      <c r="Y21" s="1" t="s">
        <v>672</v>
      </c>
    </row>
    <row r="22" spans="1:25" x14ac:dyDescent="0.3">
      <c r="A22" t="s">
        <v>563</v>
      </c>
      <c r="B22" s="3" t="s">
        <v>39</v>
      </c>
      <c r="D22" t="s">
        <v>110</v>
      </c>
      <c r="F22" t="s">
        <v>170</v>
      </c>
      <c r="J22" t="s">
        <v>228</v>
      </c>
      <c r="Q22" t="s">
        <v>380</v>
      </c>
      <c r="R22" t="s">
        <v>442</v>
      </c>
      <c r="S22" t="s">
        <v>479</v>
      </c>
      <c r="X22" s="3" t="s">
        <v>615</v>
      </c>
      <c r="Y22" s="1" t="s">
        <v>673</v>
      </c>
    </row>
    <row r="23" spans="1:25" x14ac:dyDescent="0.3">
      <c r="A23" t="s">
        <v>566</v>
      </c>
      <c r="B23" t="s">
        <v>41</v>
      </c>
      <c r="D23" t="s">
        <v>111</v>
      </c>
      <c r="F23" s="3" t="s">
        <v>172</v>
      </c>
      <c r="J23" t="s">
        <v>229</v>
      </c>
      <c r="Q23" t="s">
        <v>381</v>
      </c>
      <c r="R23" t="s">
        <v>443</v>
      </c>
      <c r="S23" t="s">
        <v>480</v>
      </c>
      <c r="X23" s="3" t="s">
        <v>617</v>
      </c>
      <c r="Y23" s="1" t="s">
        <v>860</v>
      </c>
    </row>
    <row r="24" spans="1:25" x14ac:dyDescent="0.3">
      <c r="A24" t="s">
        <v>572</v>
      </c>
      <c r="B24" t="s">
        <v>42</v>
      </c>
      <c r="D24" t="s">
        <v>343</v>
      </c>
      <c r="F24" s="84" t="s">
        <v>173</v>
      </c>
      <c r="J24" t="s">
        <v>230</v>
      </c>
      <c r="Q24" t="s">
        <v>382</v>
      </c>
      <c r="R24" t="s">
        <v>444</v>
      </c>
      <c r="S24" t="s">
        <v>872</v>
      </c>
      <c r="X24" s="3" t="s">
        <v>618</v>
      </c>
      <c r="Y24" s="1" t="s">
        <v>675</v>
      </c>
    </row>
    <row r="25" spans="1:25" x14ac:dyDescent="0.3">
      <c r="A25" t="s">
        <v>576</v>
      </c>
      <c r="B25" t="s">
        <v>44</v>
      </c>
      <c r="D25" t="s">
        <v>113</v>
      </c>
      <c r="F25" s="33" t="s">
        <v>174</v>
      </c>
      <c r="J25" t="s">
        <v>231</v>
      </c>
      <c r="Q25" t="s">
        <v>386</v>
      </c>
      <c r="R25" t="s">
        <v>445</v>
      </c>
      <c r="S25" t="s">
        <v>481</v>
      </c>
      <c r="X25" s="1" t="s">
        <v>620</v>
      </c>
      <c r="Y25" s="1" t="s">
        <v>677</v>
      </c>
    </row>
    <row r="26" spans="1:25" x14ac:dyDescent="0.3">
      <c r="B26" t="s">
        <v>45</v>
      </c>
      <c r="D26" s="3" t="s">
        <v>114</v>
      </c>
      <c r="F26" t="s">
        <v>176</v>
      </c>
      <c r="J26" t="s">
        <v>232</v>
      </c>
      <c r="Q26" t="s">
        <v>387</v>
      </c>
      <c r="R26" t="s">
        <v>446</v>
      </c>
      <c r="S26" t="s">
        <v>482</v>
      </c>
      <c r="X26" s="3" t="s">
        <v>622</v>
      </c>
      <c r="Y26" s="1" t="s">
        <v>678</v>
      </c>
    </row>
    <row r="27" spans="1:25" x14ac:dyDescent="0.3">
      <c r="B27" t="s">
        <v>62</v>
      </c>
      <c r="D27" s="3" t="s">
        <v>115</v>
      </c>
      <c r="F27" t="s">
        <v>177</v>
      </c>
      <c r="J27" t="s">
        <v>234</v>
      </c>
      <c r="Q27" t="s">
        <v>389</v>
      </c>
      <c r="R27" t="s">
        <v>447</v>
      </c>
      <c r="S27" t="s">
        <v>483</v>
      </c>
      <c r="X27" s="3" t="s">
        <v>623</v>
      </c>
      <c r="Y27" s="1" t="s">
        <v>680</v>
      </c>
    </row>
    <row r="28" spans="1:25" x14ac:dyDescent="0.3">
      <c r="B28" t="s">
        <v>48</v>
      </c>
      <c r="D28" s="1" t="s">
        <v>116</v>
      </c>
      <c r="F28" t="s">
        <v>179</v>
      </c>
      <c r="J28" t="s">
        <v>235</v>
      </c>
      <c r="Q28" s="71" t="s">
        <v>390</v>
      </c>
      <c r="R28" t="s">
        <v>448</v>
      </c>
      <c r="S28" t="s">
        <v>484</v>
      </c>
      <c r="X28" s="11" t="s">
        <v>625</v>
      </c>
      <c r="Y28" s="1" t="s">
        <v>682</v>
      </c>
    </row>
    <row r="29" spans="1:25" x14ac:dyDescent="0.3">
      <c r="B29" t="s">
        <v>50</v>
      </c>
      <c r="D29" s="3" t="s">
        <v>119</v>
      </c>
      <c r="F29" t="s">
        <v>181</v>
      </c>
      <c r="J29" t="s">
        <v>236</v>
      </c>
      <c r="Q29" s="3" t="s">
        <v>392</v>
      </c>
      <c r="S29" t="s">
        <v>486</v>
      </c>
      <c r="X29" s="33" t="s">
        <v>626</v>
      </c>
      <c r="Y29" s="33" t="s">
        <v>683</v>
      </c>
    </row>
    <row r="30" spans="1:25" x14ac:dyDescent="0.3">
      <c r="B30" t="s">
        <v>52</v>
      </c>
      <c r="D30" s="3" t="s">
        <v>120</v>
      </c>
      <c r="F30" s="3" t="s">
        <v>183</v>
      </c>
      <c r="J30" t="s">
        <v>237</v>
      </c>
      <c r="Q30" s="11" t="s">
        <v>393</v>
      </c>
      <c r="S30" t="s">
        <v>487</v>
      </c>
      <c r="X30" s="3" t="s">
        <v>628</v>
      </c>
      <c r="Y30" s="11" t="s">
        <v>865</v>
      </c>
    </row>
    <row r="31" spans="1:25" x14ac:dyDescent="0.3">
      <c r="B31" s="3" t="s">
        <v>54</v>
      </c>
      <c r="D31" t="s">
        <v>121</v>
      </c>
      <c r="F31" t="s">
        <v>185</v>
      </c>
      <c r="J31" t="s">
        <v>239</v>
      </c>
      <c r="Q31" s="3" t="s">
        <v>395</v>
      </c>
      <c r="S31" t="s">
        <v>489</v>
      </c>
      <c r="X31" s="3" t="s">
        <v>630</v>
      </c>
      <c r="Y31" s="1" t="s">
        <v>685</v>
      </c>
    </row>
    <row r="32" spans="1:25" x14ac:dyDescent="0.3">
      <c r="B32" s="33" t="s">
        <v>55</v>
      </c>
      <c r="D32" s="3" t="s">
        <v>122</v>
      </c>
      <c r="J32" t="s">
        <v>240</v>
      </c>
      <c r="Q32" s="3" t="s">
        <v>396</v>
      </c>
      <c r="S32" t="s">
        <v>490</v>
      </c>
      <c r="X32" s="33" t="s">
        <v>631</v>
      </c>
      <c r="Y32" s="1" t="s">
        <v>686</v>
      </c>
    </row>
    <row r="33" spans="2:25" x14ac:dyDescent="0.3">
      <c r="B33" s="1" t="s">
        <v>56</v>
      </c>
      <c r="D33" s="3" t="s">
        <v>856</v>
      </c>
      <c r="J33" t="s">
        <v>241</v>
      </c>
      <c r="Q33" s="3" t="s">
        <v>397</v>
      </c>
      <c r="S33" t="s">
        <v>491</v>
      </c>
      <c r="X33" s="3" t="s">
        <v>633</v>
      </c>
      <c r="Y33" s="1" t="s">
        <v>687</v>
      </c>
    </row>
    <row r="34" spans="2:25" x14ac:dyDescent="0.3">
      <c r="D34" t="s">
        <v>347</v>
      </c>
      <c r="J34" t="s">
        <v>242</v>
      </c>
      <c r="Q34" t="s">
        <v>399</v>
      </c>
      <c r="S34" t="s">
        <v>493</v>
      </c>
      <c r="X34" s="11" t="s">
        <v>635</v>
      </c>
      <c r="Y34" s="1" t="s">
        <v>689</v>
      </c>
    </row>
    <row r="35" spans="2:25" x14ac:dyDescent="0.3">
      <c r="D35" t="s">
        <v>123</v>
      </c>
      <c r="J35" s="71" t="s">
        <v>243</v>
      </c>
      <c r="Q35" s="33" t="s">
        <v>401</v>
      </c>
      <c r="S35" t="s">
        <v>494</v>
      </c>
      <c r="X35" s="3" t="s">
        <v>637</v>
      </c>
      <c r="Y35" s="1" t="s">
        <v>691</v>
      </c>
    </row>
    <row r="36" spans="2:25" x14ac:dyDescent="0.3">
      <c r="D36" s="3" t="s">
        <v>126</v>
      </c>
      <c r="J36" s="3" t="s">
        <v>245</v>
      </c>
      <c r="Q36" s="33" t="s">
        <v>402</v>
      </c>
      <c r="S36" t="s">
        <v>495</v>
      </c>
      <c r="X36" s="3" t="s">
        <v>639</v>
      </c>
      <c r="Y36" s="33" t="s">
        <v>866</v>
      </c>
    </row>
    <row r="37" spans="2:25" x14ac:dyDescent="0.3">
      <c r="D37" s="11" t="s">
        <v>127</v>
      </c>
      <c r="J37" s="3" t="s">
        <v>246</v>
      </c>
      <c r="Q37" s="3" t="s">
        <v>403</v>
      </c>
      <c r="S37" t="s">
        <v>496</v>
      </c>
      <c r="X37" s="3" t="s">
        <v>641</v>
      </c>
      <c r="Y37" s="1" t="s">
        <v>692</v>
      </c>
    </row>
    <row r="38" spans="2:25" x14ac:dyDescent="0.3">
      <c r="D38" t="s">
        <v>128</v>
      </c>
      <c r="Q38" s="3" t="s">
        <v>404</v>
      </c>
      <c r="S38" t="s">
        <v>497</v>
      </c>
      <c r="X38" s="11" t="s">
        <v>643</v>
      </c>
      <c r="Y38" s="1" t="s">
        <v>858</v>
      </c>
    </row>
    <row r="39" spans="2:25" x14ac:dyDescent="0.3">
      <c r="Q39" s="1" t="s">
        <v>406</v>
      </c>
      <c r="S39" t="s">
        <v>498</v>
      </c>
      <c r="X39" s="33" t="s">
        <v>644</v>
      </c>
      <c r="Y39" s="1" t="s">
        <v>861</v>
      </c>
    </row>
    <row r="40" spans="2:25" x14ac:dyDescent="0.3">
      <c r="Q40" s="3" t="s">
        <v>408</v>
      </c>
      <c r="S40" t="s">
        <v>499</v>
      </c>
      <c r="X40" s="33" t="s">
        <v>603</v>
      </c>
      <c r="Y40" s="1" t="s">
        <v>864</v>
      </c>
    </row>
    <row r="41" spans="2:25" x14ac:dyDescent="0.3">
      <c r="Q41" s="1" t="s">
        <v>409</v>
      </c>
      <c r="S41" t="s">
        <v>500</v>
      </c>
      <c r="Y41" s="1" t="s">
        <v>863</v>
      </c>
    </row>
    <row r="42" spans="2:25" x14ac:dyDescent="0.3">
      <c r="Q42" s="3" t="s">
        <v>411</v>
      </c>
      <c r="S42" t="s">
        <v>501</v>
      </c>
      <c r="Y42" s="1" t="s">
        <v>693</v>
      </c>
    </row>
    <row r="43" spans="2:25" x14ac:dyDescent="0.3">
      <c r="Q43" s="33" t="s">
        <v>412</v>
      </c>
      <c r="S43" t="s">
        <v>502</v>
      </c>
      <c r="Y43" s="1" t="s">
        <v>695</v>
      </c>
    </row>
    <row r="44" spans="2:25" x14ac:dyDescent="0.3">
      <c r="S44" t="s">
        <v>503</v>
      </c>
      <c r="Y44" s="1" t="s">
        <v>697</v>
      </c>
    </row>
    <row r="45" spans="2:25" x14ac:dyDescent="0.3">
      <c r="S45" s="1" t="s">
        <v>504</v>
      </c>
      <c r="Y45" s="108" t="s">
        <v>699</v>
      </c>
    </row>
    <row r="46" spans="2:25" x14ac:dyDescent="0.3">
      <c r="S46" t="s">
        <v>506</v>
      </c>
      <c r="Y46" s="1" t="s">
        <v>700</v>
      </c>
    </row>
    <row r="47" spans="2:25" x14ac:dyDescent="0.3">
      <c r="S47" t="s">
        <v>508</v>
      </c>
      <c r="Y47" s="1" t="s">
        <v>702</v>
      </c>
    </row>
    <row r="48" spans="2:25" x14ac:dyDescent="0.3">
      <c r="S48" t="s">
        <v>510</v>
      </c>
      <c r="Y48" s="1" t="s">
        <v>703</v>
      </c>
    </row>
    <row r="49" spans="19:25" x14ac:dyDescent="0.3">
      <c r="S49" t="s">
        <v>511</v>
      </c>
      <c r="Y49" s="1" t="s">
        <v>704</v>
      </c>
    </row>
    <row r="50" spans="19:25" x14ac:dyDescent="0.3">
      <c r="S50" t="s">
        <v>512</v>
      </c>
      <c r="Y50" s="1" t="s">
        <v>706</v>
      </c>
    </row>
    <row r="51" spans="19:25" x14ac:dyDescent="0.3">
      <c r="S51" t="s">
        <v>513</v>
      </c>
      <c r="Y51" s="1" t="s">
        <v>707</v>
      </c>
    </row>
    <row r="52" spans="19:25" x14ac:dyDescent="0.3">
      <c r="S52" t="s">
        <v>514</v>
      </c>
      <c r="Y52" s="1" t="s">
        <v>708</v>
      </c>
    </row>
    <row r="53" spans="19:25" x14ac:dyDescent="0.3">
      <c r="S53" t="s">
        <v>515</v>
      </c>
      <c r="Y53" s="1" t="s">
        <v>709</v>
      </c>
    </row>
    <row r="54" spans="19:25" x14ac:dyDescent="0.3">
      <c r="S54" t="s">
        <v>516</v>
      </c>
      <c r="Y54" s="1" t="s">
        <v>711</v>
      </c>
    </row>
    <row r="55" spans="19:25" x14ac:dyDescent="0.3">
      <c r="S55" s="3" t="s">
        <v>518</v>
      </c>
      <c r="Y55" s="1" t="s">
        <v>712</v>
      </c>
    </row>
    <row r="56" spans="19:25" x14ac:dyDescent="0.3">
      <c r="S56" s="3" t="s">
        <v>519</v>
      </c>
      <c r="Y56" s="1" t="s">
        <v>713</v>
      </c>
    </row>
    <row r="57" spans="19:25" x14ac:dyDescent="0.3">
      <c r="S57" s="3" t="s">
        <v>520</v>
      </c>
      <c r="Y57" s="1" t="s">
        <v>715</v>
      </c>
    </row>
    <row r="58" spans="19:25" x14ac:dyDescent="0.3">
      <c r="S58" s="1" t="s">
        <v>521</v>
      </c>
      <c r="Y58" s="1" t="s">
        <v>716</v>
      </c>
    </row>
    <row r="59" spans="19:25" x14ac:dyDescent="0.3">
      <c r="S59" s="1" t="s">
        <v>522</v>
      </c>
      <c r="Y59" s="1" t="s">
        <v>862</v>
      </c>
    </row>
    <row r="60" spans="19:25" x14ac:dyDescent="0.3">
      <c r="S60" s="3" t="s">
        <v>523</v>
      </c>
      <c r="Y60" s="1" t="s">
        <v>859</v>
      </c>
    </row>
    <row r="61" spans="19:25" x14ac:dyDescent="0.3">
      <c r="S61" s="3" t="s">
        <v>526</v>
      </c>
      <c r="Y61" s="1" t="s">
        <v>867</v>
      </c>
    </row>
    <row r="62" spans="19:25" x14ac:dyDescent="0.3">
      <c r="S62" s="1" t="s">
        <v>527</v>
      </c>
      <c r="Y62" s="1" t="s">
        <v>717</v>
      </c>
    </row>
    <row r="63" spans="19:25" x14ac:dyDescent="0.3">
      <c r="S63" s="1" t="s">
        <v>528</v>
      </c>
      <c r="Y63" s="1" t="s">
        <v>718</v>
      </c>
    </row>
    <row r="64" spans="19:25" x14ac:dyDescent="0.3">
      <c r="S64" s="1" t="s">
        <v>529</v>
      </c>
      <c r="Y64" s="1" t="s">
        <v>720</v>
      </c>
    </row>
    <row r="65" spans="19:25" x14ac:dyDescent="0.3">
      <c r="S65" s="1" t="s">
        <v>530</v>
      </c>
      <c r="Y65" s="1" t="s">
        <v>721</v>
      </c>
    </row>
    <row r="66" spans="19:25" x14ac:dyDescent="0.3">
      <c r="S66" s="1" t="s">
        <v>533</v>
      </c>
      <c r="Y66" s="1" t="s">
        <v>723</v>
      </c>
    </row>
    <row r="67" spans="19:25" x14ac:dyDescent="0.3">
      <c r="S67" s="3" t="s">
        <v>534</v>
      </c>
      <c r="Y67" s="1" t="s">
        <v>725</v>
      </c>
    </row>
    <row r="68" spans="19:25" x14ac:dyDescent="0.3">
      <c r="S68" s="1" t="s">
        <v>535</v>
      </c>
      <c r="Y68" s="1" t="s">
        <v>726</v>
      </c>
    </row>
    <row r="69" spans="19:25" x14ac:dyDescent="0.3">
      <c r="S69" s="1" t="s">
        <v>536</v>
      </c>
      <c r="Y69" s="1" t="s">
        <v>727</v>
      </c>
    </row>
    <row r="70" spans="19:25" x14ac:dyDescent="0.3">
      <c r="S70" s="1" t="s">
        <v>538</v>
      </c>
      <c r="Y70" s="1" t="s">
        <v>728</v>
      </c>
    </row>
    <row r="71" spans="19:25" x14ac:dyDescent="0.3">
      <c r="S71" s="1" t="s">
        <v>540</v>
      </c>
      <c r="Y71" s="1" t="s">
        <v>868</v>
      </c>
    </row>
    <row r="72" spans="19:25" x14ac:dyDescent="0.3">
      <c r="S72" s="3" t="s">
        <v>542</v>
      </c>
      <c r="Y72" s="1" t="s">
        <v>869</v>
      </c>
    </row>
    <row r="73" spans="19:25" x14ac:dyDescent="0.3">
      <c r="S73" s="1" t="s">
        <v>543</v>
      </c>
      <c r="Y73" s="1" t="s">
        <v>730</v>
      </c>
    </row>
    <row r="74" spans="19:25" x14ac:dyDescent="0.3">
      <c r="S74" s="1" t="s">
        <v>544</v>
      </c>
      <c r="Y74" s="1" t="s">
        <v>732</v>
      </c>
    </row>
    <row r="75" spans="19:25" x14ac:dyDescent="0.3">
      <c r="S75" s="3" t="s">
        <v>546</v>
      </c>
      <c r="Y75" s="1" t="s">
        <v>733</v>
      </c>
    </row>
    <row r="76" spans="19:25" x14ac:dyDescent="0.3">
      <c r="S76" s="3" t="s">
        <v>547</v>
      </c>
      <c r="Y76" s="3" t="s">
        <v>734</v>
      </c>
    </row>
    <row r="77" spans="19:25" x14ac:dyDescent="0.3">
      <c r="S77" s="3" t="s">
        <v>548</v>
      </c>
      <c r="Y77" s="3" t="s">
        <v>736</v>
      </c>
    </row>
    <row r="78" spans="19:25" x14ac:dyDescent="0.3">
      <c r="S78" s="3" t="s">
        <v>549</v>
      </c>
      <c r="Y78" s="1" t="s">
        <v>738</v>
      </c>
    </row>
    <row r="79" spans="19:25" x14ac:dyDescent="0.3">
      <c r="S79" s="3" t="s">
        <v>551</v>
      </c>
      <c r="Y79" s="1" t="s">
        <v>740</v>
      </c>
    </row>
    <row r="80" spans="19:25" x14ac:dyDescent="0.3">
      <c r="S80" s="3" t="s">
        <v>553</v>
      </c>
      <c r="Y80" s="1" t="s">
        <v>742</v>
      </c>
    </row>
    <row r="81" spans="19:25" x14ac:dyDescent="0.3">
      <c r="S81" s="3" t="s">
        <v>554</v>
      </c>
      <c r="Y81" s="1" t="s">
        <v>743</v>
      </c>
    </row>
    <row r="82" spans="19:25" x14ac:dyDescent="0.3">
      <c r="S82" s="3" t="s">
        <v>556</v>
      </c>
      <c r="Y82" s="1" t="s">
        <v>744</v>
      </c>
    </row>
    <row r="83" spans="19:25" x14ac:dyDescent="0.3">
      <c r="Y83" s="1" t="s">
        <v>745</v>
      </c>
    </row>
    <row r="84" spans="19:25" x14ac:dyDescent="0.3">
      <c r="Y84" s="1" t="s">
        <v>746</v>
      </c>
    </row>
    <row r="85" spans="19:25" x14ac:dyDescent="0.3">
      <c r="Y85" s="1" t="s">
        <v>747</v>
      </c>
    </row>
    <row r="86" spans="19:25" x14ac:dyDescent="0.3">
      <c r="Y86" s="1" t="s">
        <v>748</v>
      </c>
    </row>
    <row r="87" spans="19:25" x14ac:dyDescent="0.3">
      <c r="Y87" s="1" t="s">
        <v>750</v>
      </c>
    </row>
    <row r="88" spans="19:25" x14ac:dyDescent="0.3">
      <c r="Y88" s="1" t="s">
        <v>752</v>
      </c>
    </row>
    <row r="89" spans="19:25" x14ac:dyDescent="0.3">
      <c r="Y89" s="1" t="s">
        <v>754</v>
      </c>
    </row>
    <row r="90" spans="19:25" x14ac:dyDescent="0.3">
      <c r="Y90" s="3" t="s">
        <v>755</v>
      </c>
    </row>
    <row r="91" spans="19:25" x14ac:dyDescent="0.3">
      <c r="Y91" s="3" t="s">
        <v>756</v>
      </c>
    </row>
  </sheetData>
  <sheetProtection algorithmName="SHA-512" hashValue="riBS0ZrJrcq0N7jZ/kpPP4SrMsc2uKu3I3PtcTNBpIu+m6d6JGctuG0dBK/e+GtKK9s6L/o03WuNgsbA52aobQ==" saltValue="kWGGVP6zdO3rW33HHtVW3g==" spinCount="100000" sheet="1" objects="1" scenarios="1"/>
  <protectedRanges>
    <protectedRange sqref="B21" name="categorias y item_2"/>
    <protectedRange sqref="B22" name="categorias y item_1_1"/>
  </protectedRanges>
  <dataValidations count="1">
    <dataValidation type="list" allowBlank="1" showInputMessage="1" showErrorMessage="1" sqref="B21:B22" xr:uid="{FCF186A7-4BAF-40F7-8D86-CCE715238679}">
      <formula1>INDIRECT(#REF!)</formula1>
    </dataValidation>
  </dataValidations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F9AE-C2A2-4BC5-874D-BCDBC81CECD8}">
  <dimension ref="A1:H144"/>
  <sheetViews>
    <sheetView topLeftCell="A54" zoomScaleNormal="100" workbookViewId="0">
      <selection activeCell="C68" sqref="C68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7" x14ac:dyDescent="0.3">
      <c r="A1" s="17" t="s">
        <v>775</v>
      </c>
      <c r="B1" s="120" t="s">
        <v>776</v>
      </c>
      <c r="C1" s="19" t="s">
        <v>777</v>
      </c>
      <c r="D1" s="34" t="s">
        <v>0</v>
      </c>
      <c r="E1" s="2" t="s">
        <v>1</v>
      </c>
      <c r="F1" s="2" t="s">
        <v>2</v>
      </c>
      <c r="G1" s="110" t="s">
        <v>3</v>
      </c>
    </row>
    <row r="2" spans="1:7" x14ac:dyDescent="0.3">
      <c r="A2" s="1" t="s">
        <v>778</v>
      </c>
      <c r="B2" s="13">
        <v>4</v>
      </c>
      <c r="C2" s="7">
        <f t="shared" ref="C2:C33" si="0">B2*G2</f>
        <v>18800</v>
      </c>
      <c r="D2" s="1" t="s">
        <v>77</v>
      </c>
      <c r="E2" s="1" t="str">
        <f>VLOOKUP(D2,'BD Total'!$A$1:$G$506,2,0)</f>
        <v>Baño</v>
      </c>
      <c r="F2" s="1" t="str">
        <f>VLOOKUP(D2,'BD Total'!$A$1:$G$506,3,0)</f>
        <v>Unidad</v>
      </c>
      <c r="G2" s="7">
        <f>VLOOKUP(D2,'BD Total'!$A$1:$G$506,4,0)</f>
        <v>4700</v>
      </c>
    </row>
    <row r="3" spans="1:7" x14ac:dyDescent="0.3">
      <c r="A3" s="1" t="s">
        <v>778</v>
      </c>
      <c r="B3" s="13">
        <v>1</v>
      </c>
      <c r="C3" s="7">
        <f t="shared" si="0"/>
        <v>9000</v>
      </c>
      <c r="D3" s="1" t="s">
        <v>80</v>
      </c>
      <c r="E3" s="1" t="str">
        <f>VLOOKUP(D3,'BD Total'!$A$1:$G$506,2,0)</f>
        <v>Baño</v>
      </c>
      <c r="F3" s="1" t="str">
        <f>VLOOKUP(D3,'BD Total'!$A$1:$G$506,3,0)</f>
        <v>Unidad</v>
      </c>
      <c r="G3" s="7">
        <f>VLOOKUP(D3,'BD Total'!$A$1:$G$506,4,0)</f>
        <v>9000</v>
      </c>
    </row>
    <row r="4" spans="1:7" x14ac:dyDescent="0.3">
      <c r="A4" s="1" t="s">
        <v>778</v>
      </c>
      <c r="B4" s="13">
        <v>1</v>
      </c>
      <c r="C4" s="7">
        <f t="shared" si="0"/>
        <v>47000</v>
      </c>
      <c r="D4" s="1" t="s">
        <v>82</v>
      </c>
      <c r="E4" s="1" t="str">
        <f>VLOOKUP(D4,'BD Total'!$A$1:$G$506,2,0)</f>
        <v>Baño</v>
      </c>
      <c r="F4" s="1" t="str">
        <f>VLOOKUP(D4,'BD Total'!$A$1:$G$506,3,0)</f>
        <v>Unidad</v>
      </c>
      <c r="G4" s="7">
        <f>VLOOKUP(D4,'BD Total'!$A$1:$G$506,4,0)</f>
        <v>47000</v>
      </c>
    </row>
    <row r="5" spans="1:7" x14ac:dyDescent="0.3">
      <c r="A5" s="1" t="s">
        <v>778</v>
      </c>
      <c r="B5" s="13">
        <v>1</v>
      </c>
      <c r="C5" s="7">
        <f t="shared" si="0"/>
        <v>50000</v>
      </c>
      <c r="D5" s="1" t="s">
        <v>88</v>
      </c>
      <c r="E5" s="1" t="str">
        <f>VLOOKUP(D5,'BD Total'!$A$1:$G$506,2,0)</f>
        <v>Baño</v>
      </c>
      <c r="F5" s="1" t="str">
        <f>VLOOKUP(D5,'BD Total'!$A$1:$G$506,3,0)</f>
        <v>Unidad</v>
      </c>
      <c r="G5" s="7">
        <f>VLOOKUP(D5,'BD Total'!$A$1:$G$506,4,0)</f>
        <v>50000</v>
      </c>
    </row>
    <row r="6" spans="1:7" x14ac:dyDescent="0.3">
      <c r="A6" s="1" t="s">
        <v>778</v>
      </c>
      <c r="B6" s="13">
        <v>1</v>
      </c>
      <c r="C6" s="7">
        <f t="shared" si="0"/>
        <v>15957.983193277312</v>
      </c>
      <c r="D6" s="1" t="s">
        <v>93</v>
      </c>
      <c r="E6" s="1" t="str">
        <f>VLOOKUP(D6,'BD Total'!$A$1:$G$506,2,0)</f>
        <v>Baño</v>
      </c>
      <c r="F6" s="1" t="str">
        <f>VLOOKUP(D6,'BD Total'!$A$1:$G$506,3,0)</f>
        <v>Unidad</v>
      </c>
      <c r="G6" s="7">
        <f>VLOOKUP(D6,'BD Total'!$A$1:$G$506,4,0)</f>
        <v>15957.983193277312</v>
      </c>
    </row>
    <row r="7" spans="1:7" x14ac:dyDescent="0.3">
      <c r="A7" s="1" t="s">
        <v>778</v>
      </c>
      <c r="B7" s="13">
        <v>1</v>
      </c>
      <c r="C7" s="7">
        <f t="shared" si="0"/>
        <v>179048.82352941178</v>
      </c>
      <c r="D7" s="1" t="s">
        <v>97</v>
      </c>
      <c r="E7" s="1" t="str">
        <f>VLOOKUP(D7,'BD Total'!$A$1:$G$506,2,0)</f>
        <v>Baño</v>
      </c>
      <c r="F7" s="1" t="str">
        <f>VLOOKUP(D7,'BD Total'!$A$1:$G$506,3,0)</f>
        <v>Unidad</v>
      </c>
      <c r="G7" s="7">
        <f>VLOOKUP(D7,'BD Total'!$A$1:$G$506,4,0)</f>
        <v>179048.82352941178</v>
      </c>
    </row>
    <row r="8" spans="1:7" x14ac:dyDescent="0.3">
      <c r="A8" s="1" t="s">
        <v>778</v>
      </c>
      <c r="B8" s="13">
        <v>1</v>
      </c>
      <c r="C8" s="7">
        <f t="shared" si="0"/>
        <v>137000</v>
      </c>
      <c r="D8" s="1" t="s">
        <v>101</v>
      </c>
      <c r="E8" s="1" t="str">
        <f>VLOOKUP(D8,'BD Total'!$A$1:$G$506,2,0)</f>
        <v>Baño</v>
      </c>
      <c r="F8" s="1" t="str">
        <f>VLOOKUP(D8,'BD Total'!$A$1:$G$506,3,0)</f>
        <v>Unidad</v>
      </c>
      <c r="G8" s="7">
        <f>VLOOKUP(D8,'BD Total'!$A$1:$G$506,4,0)</f>
        <v>137000</v>
      </c>
    </row>
    <row r="9" spans="1:7" x14ac:dyDescent="0.3">
      <c r="A9" s="1" t="s">
        <v>778</v>
      </c>
      <c r="B9" s="13">
        <v>1</v>
      </c>
      <c r="C9" s="7">
        <f t="shared" si="0"/>
        <v>159000</v>
      </c>
      <c r="D9" s="1" t="s">
        <v>114</v>
      </c>
      <c r="E9" s="1" t="str">
        <f>VLOOKUP(D9,'BD Total'!$A$1:$G$506,2,0)</f>
        <v>Baño</v>
      </c>
      <c r="F9" s="1" t="str">
        <f>VLOOKUP(D9,'BD Total'!$A$1:$G$506,3,0)</f>
        <v>Unidad</v>
      </c>
      <c r="G9" s="7">
        <f>VLOOKUP(D9,'BD Total'!$A$1:$G$506,4,0)</f>
        <v>159000</v>
      </c>
    </row>
    <row r="10" spans="1:7" x14ac:dyDescent="0.3">
      <c r="A10" s="1" t="s">
        <v>778</v>
      </c>
      <c r="B10" s="13">
        <v>1</v>
      </c>
      <c r="C10" s="7">
        <f t="shared" si="0"/>
        <v>160000</v>
      </c>
      <c r="D10" s="1" t="s">
        <v>128</v>
      </c>
      <c r="E10" s="1" t="str">
        <f>VLOOKUP(D10,'BD Total'!$A$1:$G$506,2,0)</f>
        <v>Baño</v>
      </c>
      <c r="F10" s="1" t="str">
        <f>VLOOKUP(D10,'BD Total'!$A$1:$G$506,3,0)</f>
        <v>Unidad</v>
      </c>
      <c r="G10" s="7">
        <f>VLOOKUP(D10,'BD Total'!$A$1:$G$506,4,0)</f>
        <v>160000</v>
      </c>
    </row>
    <row r="11" spans="1:7" x14ac:dyDescent="0.3">
      <c r="A11" s="1" t="s">
        <v>778</v>
      </c>
      <c r="B11" s="13">
        <v>1</v>
      </c>
      <c r="C11" s="7">
        <f t="shared" si="0"/>
        <v>15000</v>
      </c>
      <c r="D11" s="1" t="s">
        <v>272</v>
      </c>
      <c r="E11" s="1" t="str">
        <f>VLOOKUP(D11,'BD Total'!$A$1:$G$506,2,0)</f>
        <v>Grifería</v>
      </c>
      <c r="F11" s="1" t="str">
        <f>VLOOKUP(D11,'BD Total'!$A$1:$G$506,3,0)</f>
        <v>Unidad</v>
      </c>
      <c r="G11" s="7">
        <f>VLOOKUP(D11,'BD Total'!$A$1:$G$506,4,0)</f>
        <v>15000</v>
      </c>
    </row>
    <row r="12" spans="1:7" x14ac:dyDescent="0.3">
      <c r="A12" s="1" t="s">
        <v>778</v>
      </c>
      <c r="B12" s="13">
        <v>2</v>
      </c>
      <c r="C12" s="7">
        <f t="shared" si="0"/>
        <v>3680.6722689075632</v>
      </c>
      <c r="D12" s="1" t="s">
        <v>327</v>
      </c>
      <c r="E12" s="1" t="str">
        <f>VLOOKUP(D12,'BD Total'!$A$1:$G$506,2,0)</f>
        <v>Baño</v>
      </c>
      <c r="F12" s="1" t="str">
        <f>VLOOKUP(D12,'BD Total'!$A$1:$G$506,3,0)</f>
        <v>Unidad</v>
      </c>
      <c r="G12" s="7">
        <f>VLOOKUP(D12,'BD Total'!$A$1:$G$506,4,0)</f>
        <v>1840.3361344537816</v>
      </c>
    </row>
    <row r="13" spans="1:7" x14ac:dyDescent="0.3">
      <c r="A13" s="1" t="s">
        <v>778</v>
      </c>
      <c r="B13" s="13">
        <v>9</v>
      </c>
      <c r="C13" s="7">
        <f t="shared" si="0"/>
        <v>75554.621848739494</v>
      </c>
      <c r="D13" s="1" t="s">
        <v>343</v>
      </c>
      <c r="E13" s="1" t="str">
        <f>VLOOKUP(D13,'BD Total'!$A$1:$G$506,2,0)</f>
        <v>Baño</v>
      </c>
      <c r="F13" s="1" t="str">
        <f>VLOOKUP(D13,'BD Total'!$A$1:$G$506,3,0)</f>
        <v>m2</v>
      </c>
      <c r="G13" s="7">
        <f>VLOOKUP(D13,'BD Total'!$A$1:$G$506,4,0)</f>
        <v>8394.957983193277</v>
      </c>
    </row>
    <row r="14" spans="1:7" x14ac:dyDescent="0.3">
      <c r="A14" s="1" t="s">
        <v>778</v>
      </c>
      <c r="B14" s="13">
        <v>1</v>
      </c>
      <c r="C14" s="7">
        <f t="shared" si="0"/>
        <v>17638.655462184874</v>
      </c>
      <c r="D14" s="1" t="s">
        <v>347</v>
      </c>
      <c r="E14" s="1" t="str">
        <f>VLOOKUP(D14,'BD Total'!$A$1:$G$506,2,0)</f>
        <v>Baño</v>
      </c>
      <c r="F14" s="1" t="str">
        <f>VLOOKUP(D14,'BD Total'!$A$1:$G$506,3,0)</f>
        <v>Unidad</v>
      </c>
      <c r="G14" s="7">
        <f>VLOOKUP(D14,'BD Total'!$A$1:$G$506,4,0)</f>
        <v>17638.655462184874</v>
      </c>
    </row>
    <row r="15" spans="1:7" x14ac:dyDescent="0.3">
      <c r="A15" s="1" t="s">
        <v>778</v>
      </c>
      <c r="B15" s="13">
        <v>2</v>
      </c>
      <c r="C15" s="7">
        <f t="shared" si="0"/>
        <v>2000</v>
      </c>
      <c r="D15" s="1" t="s">
        <v>418</v>
      </c>
      <c r="E15" s="1" t="str">
        <f>VLOOKUP(D15,'BD Total'!$A$1:$G$506,2,0)</f>
        <v>Sanitario</v>
      </c>
      <c r="F15" s="1" t="str">
        <f>VLOOKUP(D15,'BD Total'!$A$1:$G$506,3,0)</f>
        <v>Unidad</v>
      </c>
      <c r="G15" s="7">
        <f>VLOOKUP(D15,'BD Total'!$A$1:$G$506,4,0)</f>
        <v>1000</v>
      </c>
    </row>
    <row r="16" spans="1:7" x14ac:dyDescent="0.3">
      <c r="A16" s="1" t="s">
        <v>778</v>
      </c>
      <c r="B16" s="13">
        <v>2</v>
      </c>
      <c r="C16" s="7">
        <f t="shared" si="0"/>
        <v>400</v>
      </c>
      <c r="D16" s="1" t="s">
        <v>428</v>
      </c>
      <c r="E16" s="1" t="str">
        <f>VLOOKUP(D16,'BD Total'!$A$1:$G$506,2,0)</f>
        <v>Sanitario</v>
      </c>
      <c r="F16" s="1" t="str">
        <f>VLOOKUP(D16,'BD Total'!$A$1:$G$506,3,0)</f>
        <v>Unidad</v>
      </c>
      <c r="G16" s="7">
        <f>VLOOKUP(D16,'BD Total'!$A$1:$G$506,4,0)</f>
        <v>200</v>
      </c>
    </row>
    <row r="17" spans="1:7" x14ac:dyDescent="0.3">
      <c r="A17" s="1" t="s">
        <v>778</v>
      </c>
      <c r="B17" s="13">
        <v>1</v>
      </c>
      <c r="C17" s="7">
        <f t="shared" si="0"/>
        <v>5000</v>
      </c>
      <c r="D17" s="1" t="s">
        <v>430</v>
      </c>
      <c r="E17" s="1" t="str">
        <f>VLOOKUP(D17,'BD Total'!$A$1:$G$506,2,0)</f>
        <v>Sanitario</v>
      </c>
      <c r="F17" s="1" t="str">
        <f>VLOOKUP(D17,'BD Total'!$A$1:$G$506,3,0)</f>
        <v>Unidad</v>
      </c>
      <c r="G17" s="7">
        <f>VLOOKUP(D17,'BD Total'!$A$1:$G$506,4,0)</f>
        <v>5000</v>
      </c>
    </row>
    <row r="18" spans="1:7" x14ac:dyDescent="0.3">
      <c r="A18" s="1" t="s">
        <v>778</v>
      </c>
      <c r="B18" s="13">
        <v>1</v>
      </c>
      <c r="C18" s="7">
        <f t="shared" si="0"/>
        <v>3500</v>
      </c>
      <c r="D18" s="1" t="s">
        <v>432</v>
      </c>
      <c r="E18" s="1" t="str">
        <f>VLOOKUP(D18,'BD Total'!$A$1:$G$506,2,0)</f>
        <v>Sanitario</v>
      </c>
      <c r="F18" s="1" t="str">
        <f>VLOOKUP(D18,'BD Total'!$A$1:$G$506,3,0)</f>
        <v>Unidad</v>
      </c>
      <c r="G18" s="7">
        <f>VLOOKUP(D18,'BD Total'!$A$1:$G$506,4,0)</f>
        <v>3500</v>
      </c>
    </row>
    <row r="19" spans="1:7" x14ac:dyDescent="0.3">
      <c r="A19" s="1" t="s">
        <v>778</v>
      </c>
      <c r="B19" s="13">
        <v>1</v>
      </c>
      <c r="C19" s="7">
        <f t="shared" si="0"/>
        <v>10084</v>
      </c>
      <c r="D19" s="1" t="s">
        <v>436</v>
      </c>
      <c r="E19" s="1" t="str">
        <f>VLOOKUP(D19,'BD Total'!$A$1:$G$506,2,0)</f>
        <v>Sanitario</v>
      </c>
      <c r="F19" s="1" t="str">
        <f>VLOOKUP(D19,'BD Total'!$A$1:$G$506,3,0)</f>
        <v>Unidad</v>
      </c>
      <c r="G19" s="7">
        <f>VLOOKUP(D19,'BD Total'!$A$1:$G$506,4,0)</f>
        <v>10084</v>
      </c>
    </row>
    <row r="20" spans="1:7" x14ac:dyDescent="0.3">
      <c r="A20" s="1" t="s">
        <v>778</v>
      </c>
      <c r="B20" s="13">
        <v>1</v>
      </c>
      <c r="C20" s="7">
        <f t="shared" si="0"/>
        <v>8000</v>
      </c>
      <c r="D20" s="1" t="s">
        <v>439</v>
      </c>
      <c r="E20" s="1" t="str">
        <f>VLOOKUP(D20,'BD Total'!$A$1:$G$506,2,0)</f>
        <v>Sanitario</v>
      </c>
      <c r="F20" s="1" t="str">
        <f>VLOOKUP(D20,'BD Total'!$A$1:$G$506,3,0)</f>
        <v>Unidad</v>
      </c>
      <c r="G20" s="7">
        <f>VLOOKUP(D20,'BD Total'!$A$1:$G$506,4,0)</f>
        <v>8000</v>
      </c>
    </row>
    <row r="21" spans="1:7" x14ac:dyDescent="0.3">
      <c r="A21" s="1" t="s">
        <v>778</v>
      </c>
      <c r="B21" s="13">
        <v>2</v>
      </c>
      <c r="C21" s="7">
        <f t="shared" si="0"/>
        <v>3008</v>
      </c>
      <c r="D21" s="1" t="s">
        <v>441</v>
      </c>
      <c r="E21" s="1" t="str">
        <f>VLOOKUP(D21,'BD Total'!$A$1:$G$506,2,0)</f>
        <v>Sanitario</v>
      </c>
      <c r="F21" s="1" t="str">
        <f>VLOOKUP(D21,'BD Total'!$A$1:$G$506,3,0)</f>
        <v>Unidad</v>
      </c>
      <c r="G21" s="7">
        <f>VLOOKUP(D21,'BD Total'!$A$1:$G$506,4,0)</f>
        <v>1504</v>
      </c>
    </row>
    <row r="22" spans="1:7" x14ac:dyDescent="0.3">
      <c r="A22" s="1" t="s">
        <v>778</v>
      </c>
      <c r="B22" s="13">
        <v>2</v>
      </c>
      <c r="C22" s="7">
        <f t="shared" si="0"/>
        <v>3008</v>
      </c>
      <c r="D22" s="1" t="s">
        <v>442</v>
      </c>
      <c r="E22" s="1" t="str">
        <f>VLOOKUP(D22,'BD Total'!$A$1:$G$506,2,0)</f>
        <v>Sanitario</v>
      </c>
      <c r="F22" s="1" t="str">
        <f>VLOOKUP(D22,'BD Total'!$A$1:$G$506,3,0)</f>
        <v>Unidad</v>
      </c>
      <c r="G22" s="7">
        <f>VLOOKUP(D22,'BD Total'!$A$1:$G$506,4,0)</f>
        <v>1504</v>
      </c>
    </row>
    <row r="23" spans="1:7" x14ac:dyDescent="0.3">
      <c r="A23" s="1" t="s">
        <v>778</v>
      </c>
      <c r="B23" s="13">
        <v>4</v>
      </c>
      <c r="C23" s="7">
        <f t="shared" si="0"/>
        <v>9380</v>
      </c>
      <c r="D23" s="1" t="s">
        <v>443</v>
      </c>
      <c r="E23" s="1" t="str">
        <f>VLOOKUP(D23,'BD Total'!$A$1:$G$506,2,0)</f>
        <v>Sanitario</v>
      </c>
      <c r="F23" s="1" t="str">
        <f>VLOOKUP(D23,'BD Total'!$A$1:$G$506,3,0)</f>
        <v>Unidad</v>
      </c>
      <c r="G23" s="7">
        <f>VLOOKUP(D23,'BD Total'!$A$1:$G$506,4,0)</f>
        <v>2345</v>
      </c>
    </row>
    <row r="24" spans="1:7" x14ac:dyDescent="0.3">
      <c r="A24" s="1" t="s">
        <v>778</v>
      </c>
      <c r="B24" s="13">
        <v>1</v>
      </c>
      <c r="C24" s="7">
        <f t="shared" si="0"/>
        <v>5000</v>
      </c>
      <c r="D24" s="1" t="s">
        <v>444</v>
      </c>
      <c r="E24" s="1" t="str">
        <f>VLOOKUP(D24,'BD Total'!$A$1:$G$506,2,0)</f>
        <v>Sanitario</v>
      </c>
      <c r="F24" s="1" t="str">
        <f>VLOOKUP(D24,'BD Total'!$A$1:$G$506,3,0)</f>
        <v>Unidad</v>
      </c>
      <c r="G24" s="7">
        <f>VLOOKUP(D24,'BD Total'!$A$1:$G$506,4,0)</f>
        <v>5000</v>
      </c>
    </row>
    <row r="25" spans="1:7" x14ac:dyDescent="0.3">
      <c r="A25" s="1" t="s">
        <v>778</v>
      </c>
      <c r="B25" s="13">
        <v>1</v>
      </c>
      <c r="C25" s="7">
        <f t="shared" si="0"/>
        <v>3350</v>
      </c>
      <c r="D25" s="1" t="s">
        <v>446</v>
      </c>
      <c r="E25" s="1" t="str">
        <f>VLOOKUP(D25,'BD Total'!$A$1:$G$506,2,0)</f>
        <v>Sanitario</v>
      </c>
      <c r="F25" s="1" t="str">
        <f>VLOOKUP(D25,'BD Total'!$A$1:$G$506,3,0)</f>
        <v>Unidad</v>
      </c>
      <c r="G25" s="7">
        <f>VLOOKUP(D25,'BD Total'!$A$1:$G$506,4,0)</f>
        <v>3350</v>
      </c>
    </row>
    <row r="26" spans="1:7" x14ac:dyDescent="0.3">
      <c r="A26" s="1" t="s">
        <v>779</v>
      </c>
      <c r="B26" s="13">
        <v>1</v>
      </c>
      <c r="C26" s="7">
        <f t="shared" si="0"/>
        <v>50000</v>
      </c>
      <c r="D26" s="1" t="s">
        <v>88</v>
      </c>
      <c r="E26" s="1" t="str">
        <f>VLOOKUP(D26,'BD Total'!$A$1:$G$506,2,0)</f>
        <v>Baño</v>
      </c>
      <c r="F26" s="1" t="str">
        <f>VLOOKUP(D26,'BD Total'!$A$1:$G$506,3,0)</f>
        <v>Unidad</v>
      </c>
      <c r="G26" s="7">
        <f>VLOOKUP(D26,'BD Total'!$A$1:$G$506,4,0)</f>
        <v>50000</v>
      </c>
    </row>
    <row r="27" spans="1:7" x14ac:dyDescent="0.3">
      <c r="A27" s="1" t="s">
        <v>779</v>
      </c>
      <c r="B27" s="13">
        <v>1</v>
      </c>
      <c r="C27" s="7">
        <f t="shared" si="0"/>
        <v>15957.983193277312</v>
      </c>
      <c r="D27" s="1" t="s">
        <v>93</v>
      </c>
      <c r="E27" s="1" t="str">
        <f>VLOOKUP(D27,'BD Total'!$A$1:$G$506,2,0)</f>
        <v>Baño</v>
      </c>
      <c r="F27" s="1" t="str">
        <f>VLOOKUP(D27,'BD Total'!$A$1:$G$506,3,0)</f>
        <v>Unidad</v>
      </c>
      <c r="G27" s="7">
        <f>VLOOKUP(D27,'BD Total'!$A$1:$G$506,4,0)</f>
        <v>15957.983193277312</v>
      </c>
    </row>
    <row r="28" spans="1:7" x14ac:dyDescent="0.3">
      <c r="A28" s="1" t="s">
        <v>779</v>
      </c>
      <c r="B28" s="13">
        <v>1</v>
      </c>
      <c r="C28" s="7">
        <f t="shared" si="0"/>
        <v>137000</v>
      </c>
      <c r="D28" s="1" t="s">
        <v>101</v>
      </c>
      <c r="E28" s="1" t="str">
        <f>VLOOKUP(D28,'BD Total'!$A$1:$G$506,2,0)</f>
        <v>Baño</v>
      </c>
      <c r="F28" s="1" t="str">
        <f>VLOOKUP(D28,'BD Total'!$A$1:$G$506,3,0)</f>
        <v>Unidad</v>
      </c>
      <c r="G28" s="7">
        <f>VLOOKUP(D28,'BD Total'!$A$1:$G$506,4,0)</f>
        <v>137000</v>
      </c>
    </row>
    <row r="29" spans="1:7" x14ac:dyDescent="0.3">
      <c r="A29" s="1" t="s">
        <v>779</v>
      </c>
      <c r="B29" s="13">
        <v>1</v>
      </c>
      <c r="C29" s="7">
        <f t="shared" si="0"/>
        <v>160000</v>
      </c>
      <c r="D29" s="1" t="s">
        <v>128</v>
      </c>
      <c r="E29" s="1" t="str">
        <f>VLOOKUP(D29,'BD Total'!$A$1:$G$506,2,0)</f>
        <v>Baño</v>
      </c>
      <c r="F29" s="1" t="str">
        <f>VLOOKUP(D29,'BD Total'!$A$1:$G$506,3,0)</f>
        <v>Unidad</v>
      </c>
      <c r="G29" s="7">
        <f>VLOOKUP(D29,'BD Total'!$A$1:$G$506,4,0)</f>
        <v>160000</v>
      </c>
    </row>
    <row r="30" spans="1:7" x14ac:dyDescent="0.3">
      <c r="A30" s="1" t="s">
        <v>779</v>
      </c>
      <c r="B30" s="13">
        <v>1</v>
      </c>
      <c r="C30" s="7">
        <f t="shared" si="0"/>
        <v>15000</v>
      </c>
      <c r="D30" s="1" t="s">
        <v>272</v>
      </c>
      <c r="E30" s="1" t="str">
        <f>VLOOKUP(D30,'BD Total'!$A$1:$G$506,2,0)</f>
        <v>Grifería</v>
      </c>
      <c r="F30" s="1" t="str">
        <f>VLOOKUP(D30,'BD Total'!$A$1:$G$506,3,0)</f>
        <v>Unidad</v>
      </c>
      <c r="G30" s="7">
        <f>VLOOKUP(D30,'BD Total'!$A$1:$G$506,4,0)</f>
        <v>15000</v>
      </c>
    </row>
    <row r="31" spans="1:7" x14ac:dyDescent="0.3">
      <c r="A31" s="1" t="s">
        <v>779</v>
      </c>
      <c r="B31" s="13">
        <v>2</v>
      </c>
      <c r="C31" s="7">
        <f t="shared" si="0"/>
        <v>2000</v>
      </c>
      <c r="D31" s="1" t="s">
        <v>418</v>
      </c>
      <c r="E31" s="1" t="str">
        <f>VLOOKUP(D31,'BD Total'!$A$1:$G$506,2,0)</f>
        <v>Sanitario</v>
      </c>
      <c r="F31" s="1" t="str">
        <f>VLOOKUP(D31,'BD Total'!$A$1:$G$506,3,0)</f>
        <v>Unidad</v>
      </c>
      <c r="G31" s="7">
        <f>VLOOKUP(D31,'BD Total'!$A$1:$G$506,4,0)</f>
        <v>1000</v>
      </c>
    </row>
    <row r="32" spans="1:7" x14ac:dyDescent="0.3">
      <c r="A32" s="1" t="s">
        <v>779</v>
      </c>
      <c r="B32" s="13">
        <v>2</v>
      </c>
      <c r="C32" s="7">
        <f t="shared" si="0"/>
        <v>400</v>
      </c>
      <c r="D32" s="1" t="s">
        <v>428</v>
      </c>
      <c r="E32" s="1" t="str">
        <f>VLOOKUP(D32,'BD Total'!$A$1:$G$506,2,0)</f>
        <v>Sanitario</v>
      </c>
      <c r="F32" s="1" t="str">
        <f>VLOOKUP(D32,'BD Total'!$A$1:$G$506,3,0)</f>
        <v>Unidad</v>
      </c>
      <c r="G32" s="7">
        <f>VLOOKUP(D32,'BD Total'!$A$1:$G$506,4,0)</f>
        <v>200</v>
      </c>
    </row>
    <row r="33" spans="1:8" x14ac:dyDescent="0.3">
      <c r="A33" s="1" t="s">
        <v>779</v>
      </c>
      <c r="B33" s="13">
        <v>1</v>
      </c>
      <c r="C33" s="7">
        <f t="shared" si="0"/>
        <v>3500</v>
      </c>
      <c r="D33" s="1" t="s">
        <v>432</v>
      </c>
      <c r="E33" s="1" t="str">
        <f>VLOOKUP(D33,'BD Total'!$A$1:$G$506,2,0)</f>
        <v>Sanitario</v>
      </c>
      <c r="F33" s="1" t="str">
        <f>VLOOKUP(D33,'BD Total'!$A$1:$G$506,3,0)</f>
        <v>Unidad</v>
      </c>
      <c r="G33" s="7">
        <f>VLOOKUP(D33,'BD Total'!$A$1:$G$506,4,0)</f>
        <v>3500</v>
      </c>
    </row>
    <row r="34" spans="1:8" x14ac:dyDescent="0.3">
      <c r="A34" s="1" t="s">
        <v>779</v>
      </c>
      <c r="B34" s="13">
        <v>1</v>
      </c>
      <c r="C34" s="7">
        <f t="shared" ref="C34:C67" si="1">B34*G34</f>
        <v>10084</v>
      </c>
      <c r="D34" s="1" t="s">
        <v>436</v>
      </c>
      <c r="E34" s="1" t="str">
        <f>VLOOKUP(D34,'BD Total'!$A$1:$G$506,2,0)</f>
        <v>Sanitario</v>
      </c>
      <c r="F34" s="1" t="str">
        <f>VLOOKUP(D34,'BD Total'!$A$1:$G$506,3,0)</f>
        <v>Unidad</v>
      </c>
      <c r="G34" s="7">
        <f>VLOOKUP(D34,'BD Total'!$A$1:$G$506,4,0)</f>
        <v>10084</v>
      </c>
    </row>
    <row r="35" spans="1:8" x14ac:dyDescent="0.3">
      <c r="A35" s="1" t="s">
        <v>779</v>
      </c>
      <c r="B35" s="13">
        <v>1</v>
      </c>
      <c r="C35" s="7">
        <f t="shared" si="1"/>
        <v>8000</v>
      </c>
      <c r="D35" s="1" t="s">
        <v>439</v>
      </c>
      <c r="E35" s="1" t="str">
        <f>VLOOKUP(D35,'BD Total'!$A$1:$G$506,2,0)</f>
        <v>Sanitario</v>
      </c>
      <c r="F35" s="1" t="str">
        <f>VLOOKUP(D35,'BD Total'!$A$1:$G$506,3,0)</f>
        <v>Unidad</v>
      </c>
      <c r="G35" s="7">
        <f>VLOOKUP(D35,'BD Total'!$A$1:$G$506,4,0)</f>
        <v>8000</v>
      </c>
    </row>
    <row r="36" spans="1:8" x14ac:dyDescent="0.3">
      <c r="A36" s="1" t="s">
        <v>779</v>
      </c>
      <c r="B36" s="13">
        <v>2</v>
      </c>
      <c r="C36" s="7">
        <f t="shared" si="1"/>
        <v>3008</v>
      </c>
      <c r="D36" s="1" t="s">
        <v>441</v>
      </c>
      <c r="E36" s="1" t="str">
        <f>VLOOKUP(D36,'BD Total'!$A$1:$G$506,2,0)</f>
        <v>Sanitario</v>
      </c>
      <c r="F36" s="1" t="str">
        <f>VLOOKUP(D36,'BD Total'!$A$1:$G$506,3,0)</f>
        <v>Unidad</v>
      </c>
      <c r="G36" s="7">
        <f>VLOOKUP(D36,'BD Total'!$A$1:$G$506,4,0)</f>
        <v>1504</v>
      </c>
    </row>
    <row r="37" spans="1:8" x14ac:dyDescent="0.3">
      <c r="A37" s="1" t="s">
        <v>779</v>
      </c>
      <c r="B37" s="13">
        <v>2</v>
      </c>
      <c r="C37" s="7">
        <f t="shared" si="1"/>
        <v>3008</v>
      </c>
      <c r="D37" s="1" t="s">
        <v>442</v>
      </c>
      <c r="E37" s="1" t="str">
        <f>VLOOKUP(D37,'BD Total'!$A$1:$G$506,2,0)</f>
        <v>Sanitario</v>
      </c>
      <c r="F37" s="1" t="str">
        <f>VLOOKUP(D37,'BD Total'!$A$1:$G$506,3,0)</f>
        <v>Unidad</v>
      </c>
      <c r="G37" s="7">
        <f>VLOOKUP(D37,'BD Total'!$A$1:$G$506,4,0)</f>
        <v>1504</v>
      </c>
    </row>
    <row r="38" spans="1:8" x14ac:dyDescent="0.3">
      <c r="A38" s="1" t="s">
        <v>779</v>
      </c>
      <c r="B38" s="13">
        <v>4</v>
      </c>
      <c r="C38" s="7">
        <f t="shared" si="1"/>
        <v>9380</v>
      </c>
      <c r="D38" s="1" t="s">
        <v>443</v>
      </c>
      <c r="E38" s="1" t="str">
        <f>VLOOKUP(D38,'BD Total'!$A$1:$G$506,2,0)</f>
        <v>Sanitario</v>
      </c>
      <c r="F38" s="1" t="str">
        <f>VLOOKUP(D38,'BD Total'!$A$1:$G$506,3,0)</f>
        <v>Unidad</v>
      </c>
      <c r="G38" s="7">
        <f>VLOOKUP(D38,'BD Total'!$A$1:$G$506,4,0)</f>
        <v>2345</v>
      </c>
    </row>
    <row r="39" spans="1:8" x14ac:dyDescent="0.3">
      <c r="A39" s="1" t="s">
        <v>779</v>
      </c>
      <c r="B39" s="13">
        <v>1</v>
      </c>
      <c r="C39" s="7">
        <f t="shared" si="1"/>
        <v>5000</v>
      </c>
      <c r="D39" s="1" t="s">
        <v>444</v>
      </c>
      <c r="E39" s="1" t="str">
        <f>VLOOKUP(D39,'BD Total'!$A$1:$G$506,2,0)</f>
        <v>Sanitario</v>
      </c>
      <c r="F39" s="1" t="str">
        <f>VLOOKUP(D39,'BD Total'!$A$1:$G$506,3,0)</f>
        <v>Unidad</v>
      </c>
      <c r="G39" s="7">
        <f>VLOOKUP(D39,'BD Total'!$A$1:$G$506,4,0)</f>
        <v>5000</v>
      </c>
    </row>
    <row r="40" spans="1:8" x14ac:dyDescent="0.3">
      <c r="A40" s="1" t="s">
        <v>779</v>
      </c>
      <c r="B40" s="13">
        <v>1</v>
      </c>
      <c r="C40" s="7">
        <f t="shared" si="1"/>
        <v>3350</v>
      </c>
      <c r="D40" s="1" t="s">
        <v>446</v>
      </c>
      <c r="E40" s="1" t="str">
        <f>VLOOKUP(D40,'BD Total'!$A$1:$G$506,2,0)</f>
        <v>Sanitario</v>
      </c>
      <c r="F40" s="1" t="str">
        <f>VLOOKUP(D40,'BD Total'!$A$1:$G$506,3,0)</f>
        <v>Unidad</v>
      </c>
      <c r="G40" s="7">
        <f>VLOOKUP(D40,'BD Total'!$A$1:$G$506,4,0)</f>
        <v>3350</v>
      </c>
    </row>
    <row r="41" spans="1:8" x14ac:dyDescent="0.3">
      <c r="A41" s="1" t="s">
        <v>780</v>
      </c>
      <c r="B41" s="13">
        <v>1</v>
      </c>
      <c r="C41" s="7">
        <f t="shared" si="1"/>
        <v>22500</v>
      </c>
      <c r="D41" s="1" t="s">
        <v>160</v>
      </c>
      <c r="E41" s="1" t="str">
        <f>VLOOKUP(D41,'BD Total'!$A$1:$G$506,2,0)</f>
        <v>Cocina</v>
      </c>
      <c r="F41" s="1" t="str">
        <f>VLOOKUP(D41,'BD Total'!$A$1:$G$506,3,0)</f>
        <v>Unidad</v>
      </c>
      <c r="G41" s="7">
        <f>VLOOKUP(D41,'BD Total'!$A$1:$G$506,4,0)</f>
        <v>22500</v>
      </c>
    </row>
    <row r="42" spans="1:8" x14ac:dyDescent="0.3">
      <c r="A42" s="1" t="s">
        <v>780</v>
      </c>
      <c r="B42" s="13">
        <v>1</v>
      </c>
      <c r="C42" s="7">
        <f t="shared" si="1"/>
        <v>82345</v>
      </c>
      <c r="D42" s="1" t="s">
        <v>156</v>
      </c>
      <c r="E42" s="1" t="str">
        <f>VLOOKUP(D42,'BD Total'!$A$1:$G$506,2,0)</f>
        <v>Cocina</v>
      </c>
      <c r="F42" s="1" t="str">
        <f>VLOOKUP(D42,'BD Total'!$A$1:$G$506,3,0)</f>
        <v>Unidad</v>
      </c>
      <c r="G42" s="7">
        <f>VLOOKUP(D42,'BD Total'!$A$1:$G$506,4,0)</f>
        <v>82345</v>
      </c>
    </row>
    <row r="43" spans="1:8" x14ac:dyDescent="0.3">
      <c r="A43" s="1" t="s">
        <v>780</v>
      </c>
      <c r="B43" s="13">
        <v>1</v>
      </c>
      <c r="C43" s="7">
        <f t="shared" si="1"/>
        <v>5000</v>
      </c>
      <c r="D43" s="1" t="s">
        <v>431</v>
      </c>
      <c r="E43" s="1" t="str">
        <f>VLOOKUP(D43,'BD Total'!$A$1:$G$506,2,0)</f>
        <v>Sanitario</v>
      </c>
      <c r="F43" s="1" t="str">
        <f>VLOOKUP(D43,'BD Total'!$A$1:$G$506,3,0)</f>
        <v>Unidad</v>
      </c>
      <c r="G43" s="7">
        <f>VLOOKUP(D43,'BD Total'!$A$1:$G$506,4,0)</f>
        <v>5000</v>
      </c>
    </row>
    <row r="44" spans="1:8" x14ac:dyDescent="0.3">
      <c r="A44" s="1" t="s">
        <v>781</v>
      </c>
      <c r="B44" s="13">
        <v>100</v>
      </c>
      <c r="C44" s="7">
        <f t="shared" si="1"/>
        <v>11200</v>
      </c>
      <c r="D44" s="1" t="s">
        <v>198</v>
      </c>
      <c r="E44" s="1" t="str">
        <f>VLOOKUP(D44,'BD Total'!$A$1:$G$506,2,0)</f>
        <v>Electricidad</v>
      </c>
      <c r="F44" s="1" t="str">
        <f>VLOOKUP(D44,'BD Total'!$A$1:$G$506,3,0)</f>
        <v>Unidad</v>
      </c>
      <c r="G44" s="7">
        <f>VLOOKUP(D44,'BD Total'!$A$1:$G$506,4,0)</f>
        <v>112</v>
      </c>
    </row>
    <row r="45" spans="1:8" x14ac:dyDescent="0.3">
      <c r="A45" s="1" t="s">
        <v>781</v>
      </c>
      <c r="B45" s="13">
        <v>1</v>
      </c>
      <c r="C45" s="7">
        <f t="shared" si="1"/>
        <v>3500</v>
      </c>
      <c r="D45" s="1" t="s">
        <v>202</v>
      </c>
      <c r="E45" s="1" t="str">
        <f>VLOOKUP(D45,'BD Total'!$A$1:$G$506,2,0)</f>
        <v>Electricidad</v>
      </c>
      <c r="F45" s="1" t="str">
        <f>VLOOKUP(D45,'BD Total'!$A$1:$G$506,3,0)</f>
        <v>Unidad</v>
      </c>
      <c r="G45" s="7">
        <f>VLOOKUP(D45,'BD Total'!$A$1:$G$506,4,0)</f>
        <v>3500</v>
      </c>
      <c r="H45" t="s">
        <v>782</v>
      </c>
    </row>
    <row r="46" spans="1:8" x14ac:dyDescent="0.3">
      <c r="A46" s="1" t="s">
        <v>781</v>
      </c>
      <c r="B46" s="13">
        <v>3</v>
      </c>
      <c r="C46" s="7">
        <f t="shared" si="1"/>
        <v>10500</v>
      </c>
      <c r="D46" s="1" t="s">
        <v>203</v>
      </c>
      <c r="E46" s="1" t="str">
        <f>VLOOKUP(D46,'BD Total'!$A$1:$G$506,2,0)</f>
        <v>Electricidad</v>
      </c>
      <c r="F46" s="1" t="str">
        <f>VLOOKUP(D46,'BD Total'!$A$1:$G$506,3,0)</f>
        <v>Unidad</v>
      </c>
      <c r="G46" s="7">
        <f>VLOOKUP(D46,'BD Total'!$A$1:$G$506,4,0)</f>
        <v>3500</v>
      </c>
      <c r="H46" t="s">
        <v>783</v>
      </c>
    </row>
    <row r="47" spans="1:8" x14ac:dyDescent="0.3">
      <c r="A47" s="1" t="s">
        <v>781</v>
      </c>
      <c r="B47" s="13">
        <v>1</v>
      </c>
      <c r="C47" s="7">
        <f t="shared" si="1"/>
        <v>9900</v>
      </c>
      <c r="D47" s="1" t="s">
        <v>204</v>
      </c>
      <c r="E47" s="1" t="str">
        <f>VLOOKUP(D47,'BD Total'!$A$1:$G$506,2,0)</f>
        <v>Electricidad</v>
      </c>
      <c r="F47" s="1" t="str">
        <f>VLOOKUP(D47,'BD Total'!$A$1:$G$506,3,0)</f>
        <v>Unidad</v>
      </c>
      <c r="G47" s="7">
        <f>VLOOKUP(D47,'BD Total'!$A$1:$G$506,4,0)</f>
        <v>9900</v>
      </c>
    </row>
    <row r="48" spans="1:8" x14ac:dyDescent="0.3">
      <c r="A48" s="1" t="s">
        <v>781</v>
      </c>
      <c r="B48" s="13">
        <v>3</v>
      </c>
      <c r="C48" s="7">
        <f t="shared" si="1"/>
        <v>39315</v>
      </c>
      <c r="D48" s="1" t="s">
        <v>209</v>
      </c>
      <c r="E48" s="1" t="str">
        <f>VLOOKUP(D48,'BD Total'!$A$1:$G$506,2,0)</f>
        <v>Electricidad</v>
      </c>
      <c r="F48" s="1" t="str">
        <f>VLOOKUP(D48,'BD Total'!$A$1:$G$506,3,0)</f>
        <v>Unidad</v>
      </c>
      <c r="G48" s="7">
        <f>VLOOKUP(D48,'BD Total'!$A$1:$G$506,4,0)</f>
        <v>13105</v>
      </c>
    </row>
    <row r="49" spans="1:8" x14ac:dyDescent="0.3">
      <c r="A49" s="1" t="s">
        <v>781</v>
      </c>
      <c r="B49" s="13">
        <v>3</v>
      </c>
      <c r="C49" s="7">
        <f t="shared" si="1"/>
        <v>52500</v>
      </c>
      <c r="D49" s="1" t="s">
        <v>211</v>
      </c>
      <c r="E49" s="1" t="str">
        <f>VLOOKUP(D49,'BD Total'!$A$1:$G$506,2,0)</f>
        <v>Electricidad</v>
      </c>
      <c r="F49" s="1" t="str">
        <f>VLOOKUP(D49,'BD Total'!$A$1:$G$506,3,0)</f>
        <v>Unidad</v>
      </c>
      <c r="G49" s="7">
        <f>VLOOKUP(D49,'BD Total'!$A$1:$G$506,4,0)</f>
        <v>17500</v>
      </c>
    </row>
    <row r="50" spans="1:8" x14ac:dyDescent="0.3">
      <c r="A50" s="1" t="s">
        <v>781</v>
      </c>
      <c r="B50" s="13">
        <v>2</v>
      </c>
      <c r="C50" s="7">
        <f t="shared" si="1"/>
        <v>4521.0084033613448</v>
      </c>
      <c r="D50" s="1" t="s">
        <v>213</v>
      </c>
      <c r="E50" s="1" t="str">
        <f>VLOOKUP(D50,'BD Total'!$A$1:$G$506,2,0)</f>
        <v>Electricidad</v>
      </c>
      <c r="F50" s="1" t="str">
        <f>VLOOKUP(D50,'BD Total'!$A$1:$G$506,3,0)</f>
        <v>Unidad</v>
      </c>
      <c r="G50" s="7">
        <f>VLOOKUP(D50,'BD Total'!$A$1:$G$506,4,0)</f>
        <v>2260.5042016806724</v>
      </c>
    </row>
    <row r="51" spans="1:8" x14ac:dyDescent="0.3">
      <c r="A51" s="1" t="s">
        <v>781</v>
      </c>
      <c r="B51" s="13">
        <v>35</v>
      </c>
      <c r="C51" s="7">
        <f t="shared" si="1"/>
        <v>28000</v>
      </c>
      <c r="D51" s="1" t="s">
        <v>215</v>
      </c>
      <c r="E51" s="1" t="str">
        <f>VLOOKUP(D51,'BD Total'!$A$1:$G$506,2,0)</f>
        <v>Electricidad</v>
      </c>
      <c r="F51" s="1" t="str">
        <f>VLOOKUP(D51,'BD Total'!$A$1:$G$506,3,0)</f>
        <v>Unidad</v>
      </c>
      <c r="G51" s="7">
        <f>VLOOKUP(D51,'BD Total'!$A$1:$G$506,4,0)</f>
        <v>800</v>
      </c>
    </row>
    <row r="52" spans="1:8" x14ac:dyDescent="0.3">
      <c r="A52" s="1" t="s">
        <v>781</v>
      </c>
      <c r="B52" s="13">
        <v>2</v>
      </c>
      <c r="C52" s="7">
        <f t="shared" si="1"/>
        <v>3000</v>
      </c>
      <c r="D52" s="1" t="s">
        <v>216</v>
      </c>
      <c r="E52" s="1" t="str">
        <f>VLOOKUP(D52,'BD Total'!$A$1:$G$506,2,0)</f>
        <v>Electricidad</v>
      </c>
      <c r="F52" s="1" t="str">
        <f>VLOOKUP(D52,'BD Total'!$A$1:$G$506,3,0)</f>
        <v>Unidad</v>
      </c>
      <c r="G52" s="7">
        <f>VLOOKUP(D52,'BD Total'!$A$1:$G$506,4,0)</f>
        <v>1500</v>
      </c>
    </row>
    <row r="53" spans="1:8" x14ac:dyDescent="0.3">
      <c r="A53" s="1" t="s">
        <v>781</v>
      </c>
      <c r="B53" s="13">
        <v>1</v>
      </c>
      <c r="C53" s="7">
        <f t="shared" si="1"/>
        <v>1200</v>
      </c>
      <c r="D53" s="1" t="s">
        <v>218</v>
      </c>
      <c r="E53" s="1" t="str">
        <f>VLOOKUP(D53,'BD Total'!$A$1:$G$506,2,0)</f>
        <v>Electricidad</v>
      </c>
      <c r="F53" s="1" t="str">
        <f>VLOOKUP(D53,'BD Total'!$A$1:$G$506,3,0)</f>
        <v>Unidad</v>
      </c>
      <c r="G53" s="7">
        <f>VLOOKUP(D53,'BD Total'!$A$1:$G$506,4,0)</f>
        <v>1200</v>
      </c>
    </row>
    <row r="54" spans="1:8" x14ac:dyDescent="0.3">
      <c r="A54" s="1" t="s">
        <v>781</v>
      </c>
      <c r="B54" s="13">
        <v>1</v>
      </c>
      <c r="C54" s="7">
        <f t="shared" si="1"/>
        <v>5600</v>
      </c>
      <c r="D54" s="1" t="s">
        <v>219</v>
      </c>
      <c r="E54" s="1" t="str">
        <f>VLOOKUP(D54,'BD Total'!$A$1:$G$506,2,0)</f>
        <v>Electricidad</v>
      </c>
      <c r="F54" s="1" t="str">
        <f>VLOOKUP(D54,'BD Total'!$A$1:$G$506,3,0)</f>
        <v>Paquete</v>
      </c>
      <c r="G54" s="7">
        <f>VLOOKUP(D54,'BD Total'!$A$1:$G$506,4,0)</f>
        <v>5600</v>
      </c>
    </row>
    <row r="55" spans="1:8" x14ac:dyDescent="0.3">
      <c r="A55" s="1" t="s">
        <v>781</v>
      </c>
      <c r="B55" s="13">
        <v>1</v>
      </c>
      <c r="C55" s="7">
        <f t="shared" si="1"/>
        <v>5600</v>
      </c>
      <c r="D55" s="1" t="s">
        <v>221</v>
      </c>
      <c r="E55" s="1" t="str">
        <f>VLOOKUP(D55,'BD Total'!$A$1:$G$506,2,0)</f>
        <v>Electricidad</v>
      </c>
      <c r="F55" s="1" t="str">
        <f>VLOOKUP(D55,'BD Total'!$A$1:$G$506,3,0)</f>
        <v>Paquete</v>
      </c>
      <c r="G55" s="7">
        <f>VLOOKUP(D55,'BD Total'!$A$1:$G$506,4,0)</f>
        <v>5600</v>
      </c>
    </row>
    <row r="56" spans="1:8" x14ac:dyDescent="0.3">
      <c r="A56" s="1" t="s">
        <v>781</v>
      </c>
      <c r="B56" s="13">
        <v>90</v>
      </c>
      <c r="C56" s="7">
        <f t="shared" si="1"/>
        <v>33300</v>
      </c>
      <c r="D56" s="1" t="s">
        <v>222</v>
      </c>
      <c r="E56" s="1" t="str">
        <f>VLOOKUP(D56,'BD Total'!$A$1:$G$506,2,0)</f>
        <v>Electricidad</v>
      </c>
      <c r="F56" s="1" t="str">
        <f>VLOOKUP(D56,'BD Total'!$A$1:$G$506,3,0)</f>
        <v>Paquete</v>
      </c>
      <c r="G56" s="7">
        <f>VLOOKUP(D56,'BD Total'!$A$1:$G$506,4,0)</f>
        <v>370</v>
      </c>
    </row>
    <row r="57" spans="1:8" x14ac:dyDescent="0.3">
      <c r="A57" s="1" t="s">
        <v>781</v>
      </c>
      <c r="B57" s="13">
        <v>4</v>
      </c>
      <c r="C57" s="7">
        <f t="shared" si="1"/>
        <v>8000</v>
      </c>
      <c r="D57" s="1" t="s">
        <v>223</v>
      </c>
      <c r="E57" s="1" t="str">
        <f>VLOOKUP(D57,'BD Total'!$A$1:$G$506,2,0)</f>
        <v>Electricidad</v>
      </c>
      <c r="F57" s="1" t="str">
        <f>VLOOKUP(D57,'BD Total'!$A$1:$G$506,3,0)</f>
        <v>Unidad</v>
      </c>
      <c r="G57" s="7">
        <f>VLOOKUP(D57,'BD Total'!$A$1:$G$506,4,0)</f>
        <v>2000</v>
      </c>
    </row>
    <row r="58" spans="1:8" x14ac:dyDescent="0.3">
      <c r="A58" s="1" t="s">
        <v>781</v>
      </c>
      <c r="B58" s="13">
        <v>2</v>
      </c>
      <c r="C58" s="7">
        <f t="shared" si="1"/>
        <v>4920</v>
      </c>
      <c r="D58" s="1" t="s">
        <v>224</v>
      </c>
      <c r="E58" s="1" t="str">
        <f>VLOOKUP(D58,'BD Total'!$A$1:$G$506,2,0)</f>
        <v>Electricidad</v>
      </c>
      <c r="F58" s="1" t="str">
        <f>VLOOKUP(D58,'BD Total'!$A$1:$G$506,3,0)</f>
        <v>Unidad</v>
      </c>
      <c r="G58" s="7">
        <f>VLOOKUP(D58,'BD Total'!$A$1:$G$506,4,0)</f>
        <v>2460</v>
      </c>
    </row>
    <row r="59" spans="1:8" x14ac:dyDescent="0.3">
      <c r="A59" s="1" t="s">
        <v>781</v>
      </c>
      <c r="B59" s="13">
        <v>14</v>
      </c>
      <c r="C59" s="7">
        <f t="shared" si="1"/>
        <v>42000</v>
      </c>
      <c r="D59" s="1" t="s">
        <v>226</v>
      </c>
      <c r="E59" s="1" t="str">
        <f>VLOOKUP(D59,'BD Total'!$A$1:$G$506,2,0)</f>
        <v>Electricidad</v>
      </c>
      <c r="F59" s="1" t="str">
        <f>VLOOKUP(D59,'BD Total'!$A$1:$G$506,3,0)</f>
        <v>Unidad</v>
      </c>
      <c r="G59" s="7">
        <f>VLOOKUP(D59,'BD Total'!$A$1:$G$506,4,0)</f>
        <v>3000</v>
      </c>
      <c r="H59" t="s">
        <v>784</v>
      </c>
    </row>
    <row r="60" spans="1:8" x14ac:dyDescent="0.3">
      <c r="A60" s="1" t="s">
        <v>781</v>
      </c>
      <c r="B60" s="13">
        <v>1</v>
      </c>
      <c r="C60" s="7">
        <f t="shared" si="1"/>
        <v>11000</v>
      </c>
      <c r="D60" s="1" t="s">
        <v>227</v>
      </c>
      <c r="E60" s="1" t="str">
        <f>VLOOKUP(D60,'BD Total'!$A$1:$G$506,2,0)</f>
        <v>Electricidad</v>
      </c>
      <c r="F60" s="1" t="str">
        <f>VLOOKUP(D60,'BD Total'!$A$1:$G$506,3,0)</f>
        <v>Unidad</v>
      </c>
      <c r="G60" s="7">
        <f>VLOOKUP(D60,'BD Total'!$A$1:$G$506,4,0)</f>
        <v>11000</v>
      </c>
    </row>
    <row r="61" spans="1:8" x14ac:dyDescent="0.3">
      <c r="A61" s="1" t="s">
        <v>781</v>
      </c>
      <c r="B61" s="13">
        <v>1</v>
      </c>
      <c r="C61" s="7">
        <f t="shared" si="1"/>
        <v>1300</v>
      </c>
      <c r="D61" s="1" t="s">
        <v>228</v>
      </c>
      <c r="E61" s="1" t="str">
        <f>VLOOKUP(D61,'BD Total'!$A$1:$G$506,2,0)</f>
        <v>Electricidad</v>
      </c>
      <c r="F61" s="1" t="str">
        <f>VLOOKUP(D61,'BD Total'!$A$1:$G$506,3,0)</f>
        <v>Paquete</v>
      </c>
      <c r="G61" s="7">
        <f>VLOOKUP(D61,'BD Total'!$A$1:$G$506,4,0)</f>
        <v>1300</v>
      </c>
    </row>
    <row r="62" spans="1:8" x14ac:dyDescent="0.3">
      <c r="A62" s="1" t="s">
        <v>781</v>
      </c>
      <c r="B62" s="13">
        <v>1</v>
      </c>
      <c r="C62" s="7">
        <f t="shared" si="1"/>
        <v>1300</v>
      </c>
      <c r="D62" s="1" t="s">
        <v>229</v>
      </c>
      <c r="E62" s="1" t="str">
        <f>VLOOKUP(D62,'BD Total'!$A$1:$G$506,2,0)</f>
        <v>Electricidad</v>
      </c>
      <c r="F62" s="1" t="str">
        <f>VLOOKUP(D62,'BD Total'!$A$1:$G$506,3,0)</f>
        <v>Paquete</v>
      </c>
      <c r="G62" s="7">
        <f>VLOOKUP(D62,'BD Total'!$A$1:$G$506,4,0)</f>
        <v>1300</v>
      </c>
    </row>
    <row r="63" spans="1:8" x14ac:dyDescent="0.3">
      <c r="A63" s="1" t="s">
        <v>781</v>
      </c>
      <c r="B63" s="13">
        <v>1</v>
      </c>
      <c r="C63" s="7">
        <f t="shared" si="1"/>
        <v>5000</v>
      </c>
      <c r="D63" s="1" t="s">
        <v>230</v>
      </c>
      <c r="E63" s="1" t="str">
        <f>VLOOKUP(D63,'BD Total'!$A$1:$G$506,2,0)</f>
        <v>Electricidad</v>
      </c>
      <c r="F63" s="1" t="str">
        <f>VLOOKUP(D63,'BD Total'!$A$1:$G$506,3,0)</f>
        <v>Unidad</v>
      </c>
      <c r="G63" s="7">
        <f>VLOOKUP(D63,'BD Total'!$A$1:$G$506,4,0)</f>
        <v>5000</v>
      </c>
    </row>
    <row r="64" spans="1:8" x14ac:dyDescent="0.3">
      <c r="A64" s="1" t="s">
        <v>781</v>
      </c>
      <c r="B64" s="13">
        <v>1</v>
      </c>
      <c r="C64" s="7">
        <f t="shared" si="1"/>
        <v>6000</v>
      </c>
      <c r="D64" s="1" t="s">
        <v>231</v>
      </c>
      <c r="E64" s="1" t="str">
        <f>VLOOKUP(D64,'BD Total'!$A$1:$G$506,2,0)</f>
        <v>Electricidad</v>
      </c>
      <c r="F64" s="1" t="str">
        <f>VLOOKUP(D64,'BD Total'!$A$1:$G$506,3,0)</f>
        <v>Unidad</v>
      </c>
      <c r="G64" s="7">
        <f>VLOOKUP(D64,'BD Total'!$A$1:$G$506,4,0)</f>
        <v>6000</v>
      </c>
    </row>
    <row r="65" spans="1:7" x14ac:dyDescent="0.3">
      <c r="A65" s="1" t="s">
        <v>781</v>
      </c>
      <c r="B65" s="13">
        <v>1</v>
      </c>
      <c r="C65" s="7">
        <f t="shared" si="1"/>
        <v>2000</v>
      </c>
      <c r="D65" s="1" t="s">
        <v>234</v>
      </c>
      <c r="E65" s="1" t="str">
        <f>VLOOKUP(D65,'BD Total'!$A$1:$G$506,2,0)</f>
        <v>Electricidad</v>
      </c>
      <c r="F65" s="1" t="str">
        <f>VLOOKUP(D65,'BD Total'!$A$1:$G$506,3,0)</f>
        <v>Unidad</v>
      </c>
      <c r="G65" s="7">
        <f>VLOOKUP(D65,'BD Total'!$A$1:$G$506,4,0)</f>
        <v>2000</v>
      </c>
    </row>
    <row r="66" spans="1:7" x14ac:dyDescent="0.3">
      <c r="A66" s="1" t="s">
        <v>781</v>
      </c>
      <c r="B66" s="13">
        <v>1</v>
      </c>
      <c r="C66" s="7">
        <f t="shared" si="1"/>
        <v>10084</v>
      </c>
      <c r="D66" s="1" t="s">
        <v>236</v>
      </c>
      <c r="E66" s="1" t="str">
        <f>VLOOKUP(D66,'BD Total'!$A$1:$G$506,2,0)</f>
        <v>Electricidad</v>
      </c>
      <c r="F66" s="1" t="str">
        <f>VLOOKUP(D66,'BD Total'!$A$1:$G$506,3,0)</f>
        <v>Unidad</v>
      </c>
      <c r="G66" s="7">
        <f>VLOOKUP(D66,'BD Total'!$A$1:$G$506,4,0)</f>
        <v>10084</v>
      </c>
    </row>
    <row r="67" spans="1:7" x14ac:dyDescent="0.3">
      <c r="A67" s="1" t="s">
        <v>781</v>
      </c>
      <c r="B67" s="13">
        <v>1</v>
      </c>
      <c r="C67" s="7">
        <f t="shared" si="1"/>
        <v>13500</v>
      </c>
      <c r="D67" s="1" t="s">
        <v>239</v>
      </c>
      <c r="E67" s="1" t="str">
        <f>VLOOKUP(D67,'BD Total'!$A$1:$G$506,2,0)</f>
        <v>Electricidad</v>
      </c>
      <c r="F67" s="1" t="str">
        <f>VLOOKUP(D67,'BD Total'!$A$1:$G$506,3,0)</f>
        <v>Unidad</v>
      </c>
      <c r="G67" s="7">
        <f>VLOOKUP(D67,'BD Total'!$A$1:$G$506,4,0)</f>
        <v>13500</v>
      </c>
    </row>
    <row r="68" spans="1:7" x14ac:dyDescent="0.3">
      <c r="A68" s="1" t="s">
        <v>781</v>
      </c>
      <c r="B68" s="13">
        <v>5</v>
      </c>
      <c r="C68" s="7">
        <f t="shared" ref="C68:C95" si="2">B68*G68</f>
        <v>10000</v>
      </c>
      <c r="D68" s="1" t="s">
        <v>241</v>
      </c>
      <c r="E68" s="1" t="str">
        <f>VLOOKUP(D68,'BD Total'!$A$1:$G$506,2,0)</f>
        <v>Electricidad</v>
      </c>
      <c r="F68" s="1" t="str">
        <f>VLOOKUP(D68,'BD Total'!$A$1:$G$506,3,0)</f>
        <v>Unidad</v>
      </c>
      <c r="G68" s="7">
        <f>VLOOKUP(D68,'BD Total'!$A$1:$G$506,4,0)</f>
        <v>2000</v>
      </c>
    </row>
    <row r="69" spans="1:7" x14ac:dyDescent="0.3">
      <c r="A69" s="1" t="s">
        <v>781</v>
      </c>
      <c r="B69" s="13">
        <v>40</v>
      </c>
      <c r="C69" s="7">
        <f t="shared" si="2"/>
        <v>27200</v>
      </c>
      <c r="D69" s="1" t="s">
        <v>245</v>
      </c>
      <c r="E69" s="1" t="str">
        <f>VLOOKUP(D69,'BD Total'!$A$1:$G$506,2,0)</f>
        <v>Electricidad</v>
      </c>
      <c r="F69" s="1" t="str">
        <f>VLOOKUP(D69,'BD Total'!$A$1:$G$506,3,0)</f>
        <v>Unidad</v>
      </c>
      <c r="G69" s="7">
        <f>VLOOKUP(D69,'BD Total'!$A$1:$G$506,4,0)</f>
        <v>680</v>
      </c>
    </row>
    <row r="70" spans="1:7" x14ac:dyDescent="0.3">
      <c r="A70" s="1" t="s">
        <v>781</v>
      </c>
      <c r="B70" s="13">
        <v>7</v>
      </c>
      <c r="C70" s="7">
        <f t="shared" si="2"/>
        <v>64647.058823529413</v>
      </c>
      <c r="D70" s="1" t="s">
        <v>279</v>
      </c>
      <c r="E70" s="1" t="str">
        <f>VLOOKUP(D70,'BD Total'!$A$1:$G$506,2,0)</f>
        <v>Iluminación</v>
      </c>
      <c r="F70" s="1" t="str">
        <f>VLOOKUP(D70,'BD Total'!$A$1:$G$506,3,0)</f>
        <v>Unidad</v>
      </c>
      <c r="G70" s="7">
        <f>VLOOKUP(D70,'BD Total'!$A$1:$G$506,4,0)</f>
        <v>9235.2941176470595</v>
      </c>
    </row>
    <row r="71" spans="1:7" x14ac:dyDescent="0.3">
      <c r="A71" s="1" t="s">
        <v>781</v>
      </c>
      <c r="B71" s="13">
        <v>9</v>
      </c>
      <c r="C71" s="7">
        <f t="shared" si="2"/>
        <v>45000</v>
      </c>
      <c r="D71" s="1" t="s">
        <v>283</v>
      </c>
      <c r="E71" s="1" t="str">
        <f>VLOOKUP(D71,'BD Total'!$A$1:$G$506,2,0)</f>
        <v>Iluminación</v>
      </c>
      <c r="F71" s="1" t="str">
        <f>VLOOKUP(D71,'BD Total'!$A$1:$G$506,3,0)</f>
        <v>Unidad</v>
      </c>
      <c r="G71" s="7">
        <f>VLOOKUP(D71,'BD Total'!$A$1:$G$506,4,0)</f>
        <v>5000</v>
      </c>
    </row>
    <row r="72" spans="1:7" x14ac:dyDescent="0.3">
      <c r="A72" s="1" t="s">
        <v>781</v>
      </c>
      <c r="B72" s="13">
        <v>1</v>
      </c>
      <c r="C72" s="7">
        <f t="shared" si="2"/>
        <v>3500</v>
      </c>
      <c r="D72" s="1" t="s">
        <v>289</v>
      </c>
      <c r="E72" s="1" t="str">
        <f>VLOOKUP(D72,'BD Total'!$A$1:$G$506,2,0)</f>
        <v>Iluminación</v>
      </c>
      <c r="F72" s="1" t="str">
        <f>VLOOKUP(D72,'BD Total'!$A$1:$G$506,3,0)</f>
        <v>Unidad</v>
      </c>
      <c r="G72" s="7">
        <f>VLOOKUP(D72,'BD Total'!$A$1:$G$506,4,0)</f>
        <v>3500</v>
      </c>
    </row>
    <row r="73" spans="1:7" x14ac:dyDescent="0.3">
      <c r="A73" s="1" t="s">
        <v>781</v>
      </c>
      <c r="B73" s="13">
        <v>1</v>
      </c>
      <c r="C73" s="7">
        <f t="shared" si="2"/>
        <v>2000</v>
      </c>
      <c r="D73" s="1" t="s">
        <v>234</v>
      </c>
      <c r="E73" s="1" t="str">
        <f>VLOOKUP(D73,'BD Total'!$A$1:$G$506,2,0)</f>
        <v>Electricidad</v>
      </c>
      <c r="F73" s="1" t="str">
        <f>VLOOKUP(D73,'BD Total'!$A$1:$G$506,3,0)</f>
        <v>Unidad</v>
      </c>
      <c r="G73" s="7">
        <f>VLOOKUP(D73,'BD Total'!$A$1:$G$506,4,0)</f>
        <v>2000</v>
      </c>
    </row>
    <row r="74" spans="1:7" x14ac:dyDescent="0.3">
      <c r="A74" s="1" t="s">
        <v>781</v>
      </c>
      <c r="B74" s="13">
        <v>1</v>
      </c>
      <c r="C74" s="7">
        <f t="shared" si="2"/>
        <v>2000</v>
      </c>
      <c r="D74" s="1" t="s">
        <v>234</v>
      </c>
      <c r="E74" s="1" t="str">
        <f>VLOOKUP(D74,'BD Total'!$A$1:$G$506,2,0)</f>
        <v>Electricidad</v>
      </c>
      <c r="F74" s="1" t="str">
        <f>VLOOKUP(D74,'BD Total'!$A$1:$G$506,3,0)</f>
        <v>Unidad</v>
      </c>
      <c r="G74" s="7">
        <f>VLOOKUP(D74,'BD Total'!$A$1:$G$506,4,0)</f>
        <v>2000</v>
      </c>
    </row>
    <row r="75" spans="1:7" x14ac:dyDescent="0.3">
      <c r="A75" s="1" t="s">
        <v>785</v>
      </c>
      <c r="B75" s="13">
        <v>1</v>
      </c>
      <c r="C75" s="7">
        <f t="shared" si="2"/>
        <v>25000</v>
      </c>
      <c r="D75" s="1" t="s">
        <v>296</v>
      </c>
      <c r="E75" s="1" t="str">
        <f>VLOOKUP(D75,'BD Total'!$A$1:$G$506,2,0)</f>
        <v>Pintura</v>
      </c>
      <c r="F75" s="1" t="str">
        <f>VLOOKUP(D75,'BD Total'!$A$1:$G$506,3,0)</f>
        <v>Galon</v>
      </c>
      <c r="G75" s="7">
        <f>VLOOKUP(D75,'BD Total'!$A$1:$G$506,4,0)</f>
        <v>25000</v>
      </c>
    </row>
    <row r="76" spans="1:7" x14ac:dyDescent="0.3">
      <c r="A76" s="1" t="s">
        <v>785</v>
      </c>
      <c r="B76" s="13">
        <v>1</v>
      </c>
      <c r="C76" s="7">
        <f t="shared" si="2"/>
        <v>54000</v>
      </c>
      <c r="D76" s="1" t="s">
        <v>304</v>
      </c>
      <c r="E76" s="1" t="str">
        <f>VLOOKUP(D76,'BD Total'!$A$1:$G$506,2,0)</f>
        <v>Pintura</v>
      </c>
      <c r="F76" s="1" t="str">
        <f>VLOOKUP(D76,'BD Total'!$A$1:$G$506,3,0)</f>
        <v>Tineta</v>
      </c>
      <c r="G76" s="7">
        <f>VLOOKUP(D76,'BD Total'!$A$1:$G$506,4,0)</f>
        <v>54000</v>
      </c>
    </row>
    <row r="77" spans="1:7" x14ac:dyDescent="0.3">
      <c r="A77" s="1" t="s">
        <v>785</v>
      </c>
      <c r="B77" s="13">
        <v>1</v>
      </c>
      <c r="C77" s="7">
        <f t="shared" si="2"/>
        <v>84000</v>
      </c>
      <c r="D77" s="1" t="s">
        <v>309</v>
      </c>
      <c r="E77" s="1" t="str">
        <f>VLOOKUP(D77,'BD Total'!$A$1:$G$506,2,0)</f>
        <v>Pintura</v>
      </c>
      <c r="F77" s="1" t="str">
        <f>VLOOKUP(D77,'BD Total'!$A$1:$G$506,3,0)</f>
        <v>Tineta</v>
      </c>
      <c r="G77" s="7">
        <f>VLOOKUP(D77,'BD Total'!$A$1:$G$506,4,0)</f>
        <v>84000</v>
      </c>
    </row>
    <row r="78" spans="1:7" x14ac:dyDescent="0.3">
      <c r="A78" s="1" t="s">
        <v>785</v>
      </c>
      <c r="B78" s="13">
        <v>1</v>
      </c>
      <c r="C78" s="7">
        <f t="shared" si="2"/>
        <v>90000</v>
      </c>
      <c r="D78" s="1" t="s">
        <v>313</v>
      </c>
      <c r="E78" s="1" t="str">
        <f>VLOOKUP(D78,'BD Total'!$A$1:$G$506,2,0)</f>
        <v>Pintura</v>
      </c>
      <c r="F78" s="1" t="str">
        <f>VLOOKUP(D78,'BD Total'!$A$1:$G$506,3,0)</f>
        <v>Tineta</v>
      </c>
      <c r="G78" s="7">
        <f>VLOOKUP(D78,'BD Total'!$A$1:$G$506,4,0)</f>
        <v>90000</v>
      </c>
    </row>
    <row r="79" spans="1:7" x14ac:dyDescent="0.3">
      <c r="A79" s="1" t="s">
        <v>785</v>
      </c>
      <c r="B79" s="13">
        <v>1</v>
      </c>
      <c r="C79" s="7">
        <f t="shared" si="2"/>
        <v>40000</v>
      </c>
      <c r="D79" s="1" t="s">
        <v>319</v>
      </c>
      <c r="E79" s="1" t="str">
        <f>VLOOKUP(D79,'BD Total'!$A$1:$G$506,2,0)</f>
        <v>Pintura</v>
      </c>
      <c r="F79" s="1" t="str">
        <f>VLOOKUP(D79,'BD Total'!$A$1:$G$506,3,0)</f>
        <v>Tineta</v>
      </c>
      <c r="G79" s="7">
        <f>VLOOKUP(D79,'BD Total'!$A$1:$G$506,4,0)</f>
        <v>40000</v>
      </c>
    </row>
    <row r="80" spans="1:7" x14ac:dyDescent="0.3">
      <c r="A80" s="1" t="s">
        <v>785</v>
      </c>
      <c r="B80" s="13">
        <v>1</v>
      </c>
      <c r="C80" s="7">
        <f t="shared" si="2"/>
        <v>50000</v>
      </c>
      <c r="D80" s="1" t="s">
        <v>321</v>
      </c>
      <c r="E80" s="1" t="str">
        <f>VLOOKUP(D80,'BD Total'!$A$1:$G$506,2,0)</f>
        <v>Pintura</v>
      </c>
      <c r="F80" s="1" t="str">
        <f>VLOOKUP(D80,'BD Total'!$A$1:$G$506,3,0)</f>
        <v>Unidad</v>
      </c>
      <c r="G80" s="7">
        <f>VLOOKUP(D80,'BD Total'!$A$1:$G$506,4,0)</f>
        <v>50000</v>
      </c>
    </row>
    <row r="81" spans="1:8" x14ac:dyDescent="0.3">
      <c r="A81" s="1" t="s">
        <v>786</v>
      </c>
      <c r="B81" s="13">
        <v>120</v>
      </c>
      <c r="C81" s="7">
        <f t="shared" si="2"/>
        <v>1511520</v>
      </c>
      <c r="D81" s="1" t="s">
        <v>332</v>
      </c>
      <c r="E81" s="1" t="str">
        <f>VLOOKUP(D81,'BD Total'!$A$1:$G$506,2,0)</f>
        <v>Piso</v>
      </c>
      <c r="F81" s="1" t="str">
        <f>VLOOKUP(D81,'BD Total'!$A$1:$G$506,3,0)</f>
        <v>m2</v>
      </c>
      <c r="G81" s="7">
        <f>VLOOKUP(D81,'BD Total'!$A$1:$G$506,4,0)</f>
        <v>12596</v>
      </c>
    </row>
    <row r="82" spans="1:8" x14ac:dyDescent="0.3">
      <c r="A82" s="1" t="s">
        <v>787</v>
      </c>
      <c r="B82" s="13">
        <v>30</v>
      </c>
      <c r="C82" s="7">
        <f t="shared" si="2"/>
        <v>377880</v>
      </c>
      <c r="D82" s="1" t="s">
        <v>332</v>
      </c>
      <c r="E82" s="1" t="str">
        <f>VLOOKUP(D82,'BD Total'!$A$1:$G$506,2,0)</f>
        <v>Piso</v>
      </c>
      <c r="F82" s="1" t="str">
        <f>VLOOKUP(D82,'BD Total'!$A$1:$G$506,3,0)</f>
        <v>m2</v>
      </c>
      <c r="G82" s="7">
        <f>VLOOKUP(D82,'BD Total'!$A$1:$G$506,4,0)</f>
        <v>12596</v>
      </c>
    </row>
    <row r="83" spans="1:8" x14ac:dyDescent="0.3">
      <c r="A83" s="1" t="s">
        <v>788</v>
      </c>
      <c r="B83" s="13">
        <v>45</v>
      </c>
      <c r="C83" s="7">
        <f t="shared" si="2"/>
        <v>566820</v>
      </c>
      <c r="D83" s="1" t="s">
        <v>332</v>
      </c>
      <c r="E83" s="1" t="str">
        <f>VLOOKUP(D83,'BD Total'!$A$1:$G$506,2,0)</f>
        <v>Piso</v>
      </c>
      <c r="F83" s="1" t="str">
        <f>VLOOKUP(D83,'BD Total'!$A$1:$G$506,3,0)</f>
        <v>m2</v>
      </c>
      <c r="G83" s="7">
        <f>VLOOKUP(D83,'BD Total'!$A$1:$G$506,4,0)</f>
        <v>12596</v>
      </c>
    </row>
    <row r="84" spans="1:8" x14ac:dyDescent="0.3">
      <c r="A84" s="1" t="s">
        <v>789</v>
      </c>
      <c r="B84" s="13">
        <v>60</v>
      </c>
      <c r="C84" s="7">
        <f t="shared" si="2"/>
        <v>755760</v>
      </c>
      <c r="D84" s="1" t="s">
        <v>332</v>
      </c>
      <c r="E84" s="1" t="str">
        <f>VLOOKUP(D84,'BD Total'!$A$1:$G$506,2,0)</f>
        <v>Piso</v>
      </c>
      <c r="F84" s="1" t="str">
        <f>VLOOKUP(D84,'BD Total'!$A$1:$G$506,3,0)</f>
        <v>m2</v>
      </c>
      <c r="G84" s="7">
        <f>VLOOKUP(D84,'BD Total'!$A$1:$G$506,4,0)</f>
        <v>12596</v>
      </c>
    </row>
    <row r="85" spans="1:8" x14ac:dyDescent="0.3">
      <c r="A85" s="1" t="s">
        <v>790</v>
      </c>
      <c r="B85" s="13">
        <v>90</v>
      </c>
      <c r="C85" s="7">
        <f t="shared" si="2"/>
        <v>1133640</v>
      </c>
      <c r="D85" s="1" t="s">
        <v>332</v>
      </c>
      <c r="E85" s="1" t="str">
        <f>VLOOKUP(D85,'BD Total'!$A$1:$G$506,2,0)</f>
        <v>Piso</v>
      </c>
      <c r="F85" s="1" t="str">
        <f>VLOOKUP(D85,'BD Total'!$A$1:$G$506,3,0)</f>
        <v>m2</v>
      </c>
      <c r="G85" s="7">
        <f>VLOOKUP(D85,'BD Total'!$A$1:$G$506,4,0)</f>
        <v>12596</v>
      </c>
    </row>
    <row r="86" spans="1:8" x14ac:dyDescent="0.3">
      <c r="A86" s="1" t="s">
        <v>64</v>
      </c>
      <c r="B86" s="13">
        <v>1</v>
      </c>
      <c r="C86" s="7">
        <f t="shared" si="2"/>
        <v>1904000</v>
      </c>
      <c r="D86" s="1" t="s">
        <v>64</v>
      </c>
      <c r="E86" s="1" t="str">
        <f>VLOOKUP(D86,'BD Total'!$A$1:$G$506,2,0)</f>
        <v>Aislación</v>
      </c>
      <c r="F86" s="1" t="str">
        <f>VLOOKUP(D86,'BD Total'!$A$1:$G$506,3,0)</f>
        <v>Pack</v>
      </c>
      <c r="G86" s="7">
        <f>VLOOKUP(D86,'BD Total'!$A$1:$G$506,4,0)</f>
        <v>1904000</v>
      </c>
      <c r="H86" t="s">
        <v>791</v>
      </c>
    </row>
    <row r="87" spans="1:8" x14ac:dyDescent="0.3">
      <c r="A87" s="1" t="s">
        <v>67</v>
      </c>
      <c r="B87" s="13">
        <v>1</v>
      </c>
      <c r="C87" s="7">
        <f t="shared" si="2"/>
        <v>768000</v>
      </c>
      <c r="D87" s="1" t="s">
        <v>67</v>
      </c>
      <c r="E87" s="1" t="str">
        <f>VLOOKUP(D87,'BD Total'!$A$1:$G$506,2,0)</f>
        <v>Aislación</v>
      </c>
      <c r="F87" s="1" t="str">
        <f>VLOOKUP(D87,'BD Total'!$A$1:$G$506,3,0)</f>
        <v>Pack</v>
      </c>
      <c r="G87" s="7">
        <f>VLOOKUP(D87,'BD Total'!$A$1:$G$506,4,0)</f>
        <v>768000</v>
      </c>
      <c r="H87" t="s">
        <v>791</v>
      </c>
    </row>
    <row r="88" spans="1:8" x14ac:dyDescent="0.3">
      <c r="A88" s="1" t="s">
        <v>68</v>
      </c>
      <c r="B88" s="13">
        <v>1</v>
      </c>
      <c r="C88" s="7">
        <f t="shared" si="2"/>
        <v>960000</v>
      </c>
      <c r="D88" s="1" t="s">
        <v>68</v>
      </c>
      <c r="E88" s="1" t="str">
        <f>VLOOKUP(D88,'BD Total'!$A$1:$G$506,2,0)</f>
        <v>Aislación</v>
      </c>
      <c r="F88" s="1" t="str">
        <f>VLOOKUP(D88,'BD Total'!$A$1:$G$506,3,0)</f>
        <v>Pack</v>
      </c>
      <c r="G88" s="7">
        <f>VLOOKUP(D88,'BD Total'!$A$1:$G$506,4,0)</f>
        <v>960000</v>
      </c>
      <c r="H88" t="s">
        <v>791</v>
      </c>
    </row>
    <row r="89" spans="1:8" x14ac:dyDescent="0.3">
      <c r="A89" s="1" t="s">
        <v>69</v>
      </c>
      <c r="B89" s="13">
        <v>1</v>
      </c>
      <c r="C89" s="7">
        <f t="shared" si="2"/>
        <v>1216000</v>
      </c>
      <c r="D89" s="1" t="s">
        <v>69</v>
      </c>
      <c r="E89" s="1" t="str">
        <f>VLOOKUP(D89,'BD Total'!$A$1:$G$506,2,0)</f>
        <v>Aislación</v>
      </c>
      <c r="F89" s="1" t="str">
        <f>VLOOKUP(D89,'BD Total'!$A$1:$G$506,3,0)</f>
        <v>Pack</v>
      </c>
      <c r="G89" s="7">
        <f>VLOOKUP(D89,'BD Total'!$A$1:$G$506,4,0)</f>
        <v>1216000</v>
      </c>
      <c r="H89" t="s">
        <v>791</v>
      </c>
    </row>
    <row r="90" spans="1:8" x14ac:dyDescent="0.3">
      <c r="A90" s="1" t="s">
        <v>70</v>
      </c>
      <c r="B90" s="13">
        <v>1</v>
      </c>
      <c r="C90" s="7">
        <f t="shared" si="2"/>
        <v>1584000</v>
      </c>
      <c r="D90" s="1" t="s">
        <v>70</v>
      </c>
      <c r="E90" s="1" t="str">
        <f>VLOOKUP(D90,'BD Total'!$A$1:$G$506,2,0)</f>
        <v>Aislación</v>
      </c>
      <c r="F90" s="1" t="str">
        <f>VLOOKUP(D90,'BD Total'!$A$1:$G$506,3,0)</f>
        <v>Pack</v>
      </c>
      <c r="G90" s="7">
        <f>VLOOKUP(D90,'BD Total'!$A$1:$G$506,4,0)</f>
        <v>1584000</v>
      </c>
      <c r="H90" t="s">
        <v>791</v>
      </c>
    </row>
    <row r="91" spans="1:8" x14ac:dyDescent="0.3">
      <c r="A91" s="1" t="s">
        <v>72</v>
      </c>
      <c r="B91" s="13">
        <v>1</v>
      </c>
      <c r="C91" s="7">
        <f t="shared" si="2"/>
        <v>960000</v>
      </c>
      <c r="D91" s="1" t="s">
        <v>72</v>
      </c>
      <c r="E91" s="1" t="str">
        <f>VLOOKUP(D91,'BD Total'!$A$1:$G$506,2,0)</f>
        <v>Aislación</v>
      </c>
      <c r="F91" s="1" t="str">
        <f>VLOOKUP(D91,'BD Total'!$A$1:$G$506,3,0)</f>
        <v>Pack</v>
      </c>
      <c r="G91" s="7">
        <f>VLOOKUP(D91,'BD Total'!$A$1:$G$506,4,0)</f>
        <v>960000</v>
      </c>
      <c r="H91" t="s">
        <v>791</v>
      </c>
    </row>
    <row r="92" spans="1:8" x14ac:dyDescent="0.3">
      <c r="A92" s="1" t="s">
        <v>73</v>
      </c>
      <c r="B92" s="13">
        <v>1</v>
      </c>
      <c r="C92" s="7">
        <f t="shared" si="2"/>
        <v>240000</v>
      </c>
      <c r="D92" s="1" t="s">
        <v>73</v>
      </c>
      <c r="E92" s="1" t="str">
        <f>VLOOKUP(D92,'BD Total'!$A$1:$G$506,2,0)</f>
        <v>Aislación</v>
      </c>
      <c r="F92" s="1" t="str">
        <f>VLOOKUP(D92,'BD Total'!$A$1:$G$506,3,0)</f>
        <v>Pack</v>
      </c>
      <c r="G92" s="7">
        <f>VLOOKUP(D92,'BD Total'!$A$1:$G$506,4,0)</f>
        <v>240000</v>
      </c>
      <c r="H92" t="s">
        <v>791</v>
      </c>
    </row>
    <row r="93" spans="1:8" x14ac:dyDescent="0.3">
      <c r="A93" s="1" t="s">
        <v>74</v>
      </c>
      <c r="B93" s="13">
        <v>1</v>
      </c>
      <c r="C93" s="7">
        <f t="shared" si="2"/>
        <v>360000</v>
      </c>
      <c r="D93" s="1" t="s">
        <v>74</v>
      </c>
      <c r="E93" s="1" t="str">
        <f>VLOOKUP(D93,'BD Total'!$A$1:$G$506,2,0)</f>
        <v>Aislación</v>
      </c>
      <c r="F93" s="1" t="str">
        <f>VLOOKUP(D93,'BD Total'!$A$1:$G$506,3,0)</f>
        <v>Pack</v>
      </c>
      <c r="G93" s="7">
        <f>VLOOKUP(D93,'BD Total'!$A$1:$G$506,4,0)</f>
        <v>360000</v>
      </c>
      <c r="H93" t="s">
        <v>791</v>
      </c>
    </row>
    <row r="94" spans="1:8" x14ac:dyDescent="0.3">
      <c r="A94" s="1" t="s">
        <v>75</v>
      </c>
      <c r="B94" s="13">
        <v>1</v>
      </c>
      <c r="C94" s="7">
        <f t="shared" si="2"/>
        <v>480000</v>
      </c>
      <c r="D94" s="1" t="s">
        <v>75</v>
      </c>
      <c r="E94" s="1" t="str">
        <f>VLOOKUP(D94,'BD Total'!$A$1:$G$506,2,0)</f>
        <v>Aislación</v>
      </c>
      <c r="F94" s="1" t="str">
        <f>VLOOKUP(D94,'BD Total'!$A$1:$G$506,3,0)</f>
        <v>Pack</v>
      </c>
      <c r="G94" s="7">
        <f>VLOOKUP(D94,'BD Total'!$A$1:$G$506,4,0)</f>
        <v>480000</v>
      </c>
      <c r="H94" t="s">
        <v>791</v>
      </c>
    </row>
    <row r="95" spans="1:8" x14ac:dyDescent="0.3">
      <c r="A95" s="1" t="s">
        <v>76</v>
      </c>
      <c r="B95" s="13">
        <v>1</v>
      </c>
      <c r="C95" s="7">
        <f t="shared" si="2"/>
        <v>720000</v>
      </c>
      <c r="D95" s="1" t="s">
        <v>76</v>
      </c>
      <c r="E95" s="1" t="str">
        <f>VLOOKUP(D95,'BD Total'!$A$1:$G$506,2,0)</f>
        <v>Aislación</v>
      </c>
      <c r="F95" s="1" t="str">
        <f>VLOOKUP(D95,'BD Total'!$A$1:$G$506,3,0)</f>
        <v>Pack</v>
      </c>
      <c r="G95" s="7">
        <f>VLOOKUP(D95,'BD Total'!$A$1:$G$506,4,0)</f>
        <v>720000</v>
      </c>
      <c r="H95" t="s">
        <v>791</v>
      </c>
    </row>
    <row r="96" spans="1:8" x14ac:dyDescent="0.3">
      <c r="A96" s="1" t="s">
        <v>792</v>
      </c>
      <c r="B96" s="13">
        <v>2</v>
      </c>
      <c r="C96" s="7">
        <f t="shared" ref="C96:C127" si="3">B96*G96</f>
        <v>7000</v>
      </c>
      <c r="D96" s="1" t="s">
        <v>353</v>
      </c>
      <c r="E96" s="1" t="str">
        <f>VLOOKUP(D96,'BD Total'!$A$1:$G$506,2,0)</f>
        <v>Puerta</v>
      </c>
      <c r="F96" s="1" t="str">
        <f>VLOOKUP(D96,'BD Total'!$A$1:$G$506,3,0)</f>
        <v>Unidad</v>
      </c>
      <c r="G96" s="7">
        <f>VLOOKUP(D96,'BD Total'!$A$1:$G$506,4,0)</f>
        <v>3500</v>
      </c>
    </row>
    <row r="97" spans="1:7" x14ac:dyDescent="0.3">
      <c r="A97" s="1" t="s">
        <v>792</v>
      </c>
      <c r="B97" s="13">
        <v>2</v>
      </c>
      <c r="C97" s="7">
        <f t="shared" si="3"/>
        <v>10000</v>
      </c>
      <c r="D97" s="1" t="s">
        <v>357</v>
      </c>
      <c r="E97" s="1" t="str">
        <f>VLOOKUP(D97,'BD Total'!$A$1:$G$506,2,0)</f>
        <v>Puerta</v>
      </c>
      <c r="F97" s="1" t="str">
        <f>VLOOKUP(D97,'BD Total'!$A$1:$G$506,3,0)</f>
        <v>Unidad</v>
      </c>
      <c r="G97" s="7">
        <f>VLOOKUP(D97,'BD Total'!$A$1:$G$506,4,0)</f>
        <v>5000</v>
      </c>
    </row>
    <row r="98" spans="1:7" x14ac:dyDescent="0.3">
      <c r="A98" s="1" t="s">
        <v>792</v>
      </c>
      <c r="B98" s="13">
        <v>2</v>
      </c>
      <c r="C98" s="7">
        <f t="shared" si="3"/>
        <v>22000</v>
      </c>
      <c r="D98" s="1" t="s">
        <v>364</v>
      </c>
      <c r="E98" s="1" t="str">
        <f>VLOOKUP(D98,'BD Total'!$A$1:$G$506,2,0)</f>
        <v>Puerta</v>
      </c>
      <c r="F98" s="1" t="str">
        <f>VLOOKUP(D98,'BD Total'!$A$1:$G$506,3,0)</f>
        <v>Unidad</v>
      </c>
      <c r="G98" s="7">
        <f>VLOOKUP(D98,'BD Total'!$A$1:$G$506,4,0)</f>
        <v>11000</v>
      </c>
    </row>
    <row r="99" spans="1:7" x14ac:dyDescent="0.3">
      <c r="A99" s="1" t="s">
        <v>792</v>
      </c>
      <c r="B99" s="13">
        <v>2</v>
      </c>
      <c r="C99" s="7">
        <f t="shared" si="3"/>
        <v>170000</v>
      </c>
      <c r="D99" s="1" t="s">
        <v>380</v>
      </c>
      <c r="E99" s="1" t="str">
        <f>VLOOKUP(D99,'BD Total'!$A$1:$G$506,2,0)</f>
        <v>Puerta</v>
      </c>
      <c r="F99" s="1" t="str">
        <f>VLOOKUP(D99,'BD Total'!$A$1:$G$506,3,0)</f>
        <v>Unidad</v>
      </c>
      <c r="G99" s="7">
        <f>VLOOKUP(D99,'BD Total'!$A$1:$G$506,4,0)</f>
        <v>85000</v>
      </c>
    </row>
    <row r="100" spans="1:7" x14ac:dyDescent="0.3">
      <c r="A100" s="1" t="s">
        <v>793</v>
      </c>
      <c r="B100" s="13">
        <v>8</v>
      </c>
      <c r="C100" s="7">
        <f t="shared" si="3"/>
        <v>8000</v>
      </c>
      <c r="D100" s="1" t="s">
        <v>454</v>
      </c>
      <c r="E100" s="1" t="str">
        <f>VLOOKUP(D100,'BD Total'!$A$1:$G$506,2,0)</f>
        <v>Tabiquería</v>
      </c>
      <c r="F100" s="1" t="str">
        <f>VLOOKUP(D100,'BD Total'!$A$1:$G$506,3,0)</f>
        <v>Unidad</v>
      </c>
      <c r="G100" s="7">
        <f>VLOOKUP(D100,'BD Total'!$A$1:$G$506,4,0)</f>
        <v>1000</v>
      </c>
    </row>
    <row r="101" spans="1:7" x14ac:dyDescent="0.3">
      <c r="A101" s="1" t="s">
        <v>793</v>
      </c>
      <c r="B101" s="13">
        <v>32</v>
      </c>
      <c r="C101" s="7">
        <f t="shared" si="3"/>
        <v>40416</v>
      </c>
      <c r="D101" s="1" t="s">
        <v>467</v>
      </c>
      <c r="E101" s="1" t="str">
        <f>VLOOKUP(D101,'BD Total'!$A$1:$G$506,2,0)</f>
        <v>Tabiquería</v>
      </c>
      <c r="F101" s="1" t="str">
        <f>VLOOKUP(D101,'BD Total'!$A$1:$G$506,3,0)</f>
        <v>Unidad</v>
      </c>
      <c r="G101" s="7">
        <f>VLOOKUP(D101,'BD Total'!$A$1:$G$506,4,0)</f>
        <v>1263</v>
      </c>
    </row>
    <row r="102" spans="1:7" x14ac:dyDescent="0.3">
      <c r="A102" s="1" t="s">
        <v>793</v>
      </c>
      <c r="B102" s="13">
        <v>1</v>
      </c>
      <c r="C102" s="7">
        <f t="shared" si="3"/>
        <v>3300</v>
      </c>
      <c r="D102" s="1" t="s">
        <v>468</v>
      </c>
      <c r="E102" s="1" t="str">
        <f>VLOOKUP(D102,'BD Total'!$A$1:$G$506,2,0)</f>
        <v>Tabiquería</v>
      </c>
      <c r="F102" s="1" t="str">
        <f>VLOOKUP(D102,'BD Total'!$A$1:$G$506,3,0)</f>
        <v>Unidad</v>
      </c>
      <c r="G102" s="7">
        <f>VLOOKUP(D102,'BD Total'!$A$1:$G$506,4,0)</f>
        <v>3300</v>
      </c>
    </row>
    <row r="103" spans="1:7" x14ac:dyDescent="0.3">
      <c r="A103" s="1" t="s">
        <v>793</v>
      </c>
      <c r="B103" s="13">
        <v>20</v>
      </c>
      <c r="C103" s="7">
        <f t="shared" si="3"/>
        <v>24000</v>
      </c>
      <c r="D103" s="1" t="s">
        <v>469</v>
      </c>
      <c r="E103" s="1" t="str">
        <f>VLOOKUP(D103,'BD Total'!$A$1:$G$506,2,0)</f>
        <v>Tabiquería</v>
      </c>
      <c r="F103" s="1" t="str">
        <f>VLOOKUP(D103,'BD Total'!$A$1:$G$506,3,0)</f>
        <v>Unidad</v>
      </c>
      <c r="G103" s="7">
        <f>VLOOKUP(D103,'BD Total'!$A$1:$G$506,4,0)</f>
        <v>1200</v>
      </c>
    </row>
    <row r="104" spans="1:7" x14ac:dyDescent="0.3">
      <c r="A104" s="1" t="s">
        <v>793</v>
      </c>
      <c r="B104" s="13">
        <v>1</v>
      </c>
      <c r="C104" s="7">
        <f t="shared" si="3"/>
        <v>1100</v>
      </c>
      <c r="D104" s="1" t="s">
        <v>474</v>
      </c>
      <c r="E104" s="1" t="str">
        <f>VLOOKUP(D104,'BD Total'!$A$1:$G$506,2,0)</f>
        <v>Tabiquería</v>
      </c>
      <c r="F104" s="1" t="str">
        <f>VLOOKUP(D104,'BD Total'!$A$1:$G$506,3,0)</f>
        <v>Unidad</v>
      </c>
      <c r="G104" s="7">
        <f>VLOOKUP(D104,'BD Total'!$A$1:$G$506,4,0)</f>
        <v>1100</v>
      </c>
    </row>
    <row r="105" spans="1:7" x14ac:dyDescent="0.3">
      <c r="A105" s="1" t="s">
        <v>793</v>
      </c>
      <c r="B105" s="13">
        <v>20</v>
      </c>
      <c r="C105" s="7">
        <f t="shared" si="3"/>
        <v>55300</v>
      </c>
      <c r="D105" s="1" t="s">
        <v>482</v>
      </c>
      <c r="E105" s="1" t="str">
        <f>VLOOKUP(D105,'BD Total'!$A$1:$G$506,2,0)</f>
        <v>Tabiquería</v>
      </c>
      <c r="F105" s="1" t="str">
        <f>VLOOKUP(D105,'BD Total'!$A$1:$G$506,3,0)</f>
        <v>Unidad</v>
      </c>
      <c r="G105" s="7">
        <f>VLOOKUP(D105,'BD Total'!$A$1:$G$506,4,0)</f>
        <v>2765</v>
      </c>
    </row>
    <row r="106" spans="1:7" x14ac:dyDescent="0.3">
      <c r="A106" s="1" t="s">
        <v>793</v>
      </c>
      <c r="B106" s="13">
        <v>1</v>
      </c>
      <c r="C106" s="7">
        <f t="shared" si="3"/>
        <v>19400</v>
      </c>
      <c r="D106" s="1" t="s">
        <v>490</v>
      </c>
      <c r="E106" s="1" t="str">
        <f>VLOOKUP(D106,'BD Total'!$A$1:$G$506,2,0)</f>
        <v>Tabiquería</v>
      </c>
      <c r="F106" s="1" t="str">
        <f>VLOOKUP(D106,'BD Total'!$A$1:$G$506,3,0)</f>
        <v>Unidad</v>
      </c>
      <c r="G106" s="7">
        <f>VLOOKUP(D106,'BD Total'!$A$1:$G$506,4,0)</f>
        <v>19400</v>
      </c>
    </row>
    <row r="107" spans="1:7" x14ac:dyDescent="0.3">
      <c r="A107" s="1" t="s">
        <v>793</v>
      </c>
      <c r="B107" s="13">
        <v>47</v>
      </c>
      <c r="C107" s="7">
        <f t="shared" si="3"/>
        <v>420697</v>
      </c>
      <c r="D107" s="1" t="s">
        <v>498</v>
      </c>
      <c r="E107" s="1" t="str">
        <f>VLOOKUP(D107,'BD Total'!$A$1:$G$506,2,0)</f>
        <v>Tabiquería</v>
      </c>
      <c r="F107" s="1" t="str">
        <f>VLOOKUP(D107,'BD Total'!$A$1:$G$506,3,0)</f>
        <v>Unidad</v>
      </c>
      <c r="G107" s="7">
        <f>VLOOKUP(D107,'BD Total'!$A$1:$G$506,4,0)</f>
        <v>8951</v>
      </c>
    </row>
    <row r="108" spans="1:7" x14ac:dyDescent="0.3">
      <c r="A108" s="1" t="s">
        <v>793</v>
      </c>
      <c r="B108" s="13">
        <v>1</v>
      </c>
      <c r="C108" s="7">
        <f t="shared" si="3"/>
        <v>18000</v>
      </c>
      <c r="D108" s="1" t="s">
        <v>499</v>
      </c>
      <c r="E108" s="1" t="str">
        <f>VLOOKUP(D108,'BD Total'!$A$1:$G$506,2,0)</f>
        <v>Tabiquería</v>
      </c>
      <c r="F108" s="1" t="str">
        <f>VLOOKUP(D108,'BD Total'!$A$1:$G$506,3,0)</f>
        <v>Tineta</v>
      </c>
      <c r="G108" s="7">
        <f>VLOOKUP(D108,'BD Total'!$A$1:$G$506,4,0)</f>
        <v>18000</v>
      </c>
    </row>
    <row r="109" spans="1:7" x14ac:dyDescent="0.3">
      <c r="A109" s="1" t="s">
        <v>793</v>
      </c>
      <c r="B109" s="13">
        <v>8</v>
      </c>
      <c r="C109" s="7">
        <f t="shared" si="3"/>
        <v>88000</v>
      </c>
      <c r="D109" s="1" t="s">
        <v>501</v>
      </c>
      <c r="E109" s="1" t="str">
        <f>VLOOKUP(D109,'BD Total'!$A$1:$G$506,2,0)</f>
        <v>Tabiquería</v>
      </c>
      <c r="F109" s="1" t="str">
        <f>VLOOKUP(D109,'BD Total'!$A$1:$G$506,3,0)</f>
        <v>Unidad</v>
      </c>
      <c r="G109" s="7">
        <f>VLOOKUP(D109,'BD Total'!$A$1:$G$506,4,0)</f>
        <v>11000</v>
      </c>
    </row>
    <row r="110" spans="1:7" x14ac:dyDescent="0.3">
      <c r="A110" s="1" t="s">
        <v>793</v>
      </c>
      <c r="B110" s="13">
        <v>1</v>
      </c>
      <c r="C110" s="7">
        <f t="shared" si="3"/>
        <v>10500</v>
      </c>
      <c r="D110" s="1" t="s">
        <v>530</v>
      </c>
      <c r="E110" s="1" t="str">
        <f>VLOOKUP(D110,'BD Total'!$A$1:$G$506,2,0)</f>
        <v>Tabiquería</v>
      </c>
      <c r="F110" s="1" t="str">
        <f>VLOOKUP(D110,'BD Total'!$A$1:$G$506,3,0)</f>
        <v>General</v>
      </c>
      <c r="G110" s="7">
        <f>VLOOKUP(D110,'BD Total'!$A$1:$G$506,4,0)</f>
        <v>10500</v>
      </c>
    </row>
    <row r="111" spans="1:7" x14ac:dyDescent="0.3">
      <c r="A111" s="1" t="s">
        <v>793</v>
      </c>
      <c r="B111" s="13">
        <v>2</v>
      </c>
      <c r="C111" s="7">
        <f t="shared" si="3"/>
        <v>10900</v>
      </c>
      <c r="D111" s="1" t="s">
        <v>533</v>
      </c>
      <c r="E111" s="1" t="str">
        <f>VLOOKUP(D111,'BD Total'!$A$1:$G$506,2,0)</f>
        <v>Tabiquería</v>
      </c>
      <c r="F111" s="1" t="str">
        <f>VLOOKUP(D111,'BD Total'!$A$1:$G$506,3,0)</f>
        <v>Unidad</v>
      </c>
      <c r="G111" s="7">
        <f>VLOOKUP(D111,'BD Total'!$A$1:$G$506,4,0)</f>
        <v>5450</v>
      </c>
    </row>
    <row r="112" spans="1:7" x14ac:dyDescent="0.3">
      <c r="A112" s="1" t="s">
        <v>793</v>
      </c>
      <c r="B112" s="13">
        <v>6</v>
      </c>
      <c r="C112" s="7">
        <f t="shared" si="3"/>
        <v>16140</v>
      </c>
      <c r="D112" s="1" t="s">
        <v>534</v>
      </c>
      <c r="E112" s="1" t="str">
        <f>VLOOKUP(D112,'BD Total'!$A$1:$G$506,2,0)</f>
        <v>Tabiquería</v>
      </c>
      <c r="F112" s="1" t="str">
        <f>VLOOKUP(D112,'BD Total'!$A$1:$G$506,3,0)</f>
        <v>Unidad</v>
      </c>
      <c r="G112" s="7">
        <f>VLOOKUP(D112,'BD Total'!$A$1:$G$506,4,0)</f>
        <v>2690</v>
      </c>
    </row>
    <row r="113" spans="1:7" x14ac:dyDescent="0.3">
      <c r="A113" s="1" t="s">
        <v>793</v>
      </c>
      <c r="B113" s="13">
        <v>2</v>
      </c>
      <c r="C113" s="7">
        <f t="shared" si="3"/>
        <v>6000</v>
      </c>
      <c r="D113" s="1" t="s">
        <v>535</v>
      </c>
      <c r="E113" s="1" t="str">
        <f>VLOOKUP(D113,'BD Total'!$A$1:$G$506,2,0)</f>
        <v>Tabiquería</v>
      </c>
      <c r="F113" s="1" t="str">
        <f>VLOOKUP(D113,'BD Total'!$A$1:$G$506,3,0)</f>
        <v>Unidad</v>
      </c>
      <c r="G113" s="7">
        <f>VLOOKUP(D113,'BD Total'!$A$1:$G$506,4,0)</f>
        <v>3000</v>
      </c>
    </row>
    <row r="114" spans="1:7" x14ac:dyDescent="0.3">
      <c r="A114" s="1" t="s">
        <v>793</v>
      </c>
      <c r="B114" s="13">
        <v>1</v>
      </c>
      <c r="C114" s="7">
        <f t="shared" si="3"/>
        <v>50000</v>
      </c>
      <c r="D114" s="1" t="s">
        <v>542</v>
      </c>
      <c r="E114" s="1" t="str">
        <f>VLOOKUP(D114,'BD Total'!$A$1:$G$506,2,0)</f>
        <v>Tabiquería</v>
      </c>
      <c r="F114" s="1" t="str">
        <f>VLOOKUP(D114,'BD Total'!$A$1:$G$506,3,0)</f>
        <v>Unidad</v>
      </c>
      <c r="G114" s="7">
        <f>VLOOKUP(D114,'BD Total'!$A$1:$G$506,4,0)</f>
        <v>50000</v>
      </c>
    </row>
    <row r="115" spans="1:7" x14ac:dyDescent="0.3">
      <c r="A115" s="1" t="s">
        <v>793</v>
      </c>
      <c r="B115" s="13">
        <v>10</v>
      </c>
      <c r="C115" s="7">
        <f t="shared" si="3"/>
        <v>51510</v>
      </c>
      <c r="D115" s="1" t="s">
        <v>546</v>
      </c>
      <c r="E115" s="1" t="str">
        <f>VLOOKUP(D115,'BD Total'!$A$1:$G$506,2,0)</f>
        <v>Tabiquería</v>
      </c>
      <c r="F115" s="1" t="str">
        <f>VLOOKUP(D115,'BD Total'!$A$1:$G$506,3,0)</f>
        <v>Unidad</v>
      </c>
      <c r="G115" s="7">
        <f>VLOOKUP(D115,'BD Total'!$A$1:$G$506,4,0)</f>
        <v>5151</v>
      </c>
    </row>
    <row r="116" spans="1:7" x14ac:dyDescent="0.3">
      <c r="A116" s="1" t="s">
        <v>793</v>
      </c>
      <c r="B116" s="13">
        <v>30</v>
      </c>
      <c r="C116" s="7">
        <f t="shared" si="3"/>
        <v>154530</v>
      </c>
      <c r="D116" s="1" t="s">
        <v>547</v>
      </c>
      <c r="E116" s="1" t="str">
        <f>VLOOKUP(D116,'BD Total'!$A$1:$G$506,2,0)</f>
        <v>Tabiquería</v>
      </c>
      <c r="F116" s="1" t="str">
        <f>VLOOKUP(D116,'BD Total'!$A$1:$G$506,3,0)</f>
        <v>Unidad</v>
      </c>
      <c r="G116" s="7">
        <f>VLOOKUP(D116,'BD Total'!$A$1:$G$506,4,0)</f>
        <v>5151</v>
      </c>
    </row>
    <row r="117" spans="1:7" x14ac:dyDescent="0.3">
      <c r="A117" s="1" t="s">
        <v>793</v>
      </c>
      <c r="B117" s="13">
        <v>7</v>
      </c>
      <c r="C117" s="7">
        <f t="shared" si="3"/>
        <v>79352</v>
      </c>
      <c r="D117" s="1" t="s">
        <v>551</v>
      </c>
      <c r="E117" s="1" t="str">
        <f>VLOOKUP(D117,'BD Total'!$A$1:$G$506,2,0)</f>
        <v>Tabiquería</v>
      </c>
      <c r="F117" s="1" t="str">
        <f>VLOOKUP(D117,'BD Total'!$A$1:$G$506,3,0)</f>
        <v>Unidad</v>
      </c>
      <c r="G117" s="7">
        <f>VLOOKUP(D117,'BD Total'!$A$1:$G$506,4,0)</f>
        <v>11336</v>
      </c>
    </row>
    <row r="118" spans="1:7" x14ac:dyDescent="0.3">
      <c r="A118" s="1" t="s">
        <v>793</v>
      </c>
      <c r="B118" s="13">
        <f>24+6</f>
        <v>30</v>
      </c>
      <c r="C118" s="7">
        <f t="shared" si="3"/>
        <v>186660</v>
      </c>
      <c r="D118" s="1" t="s">
        <v>553</v>
      </c>
      <c r="E118" s="1" t="str">
        <f>VLOOKUP(D118,'BD Total'!$A$1:$G$506,2,0)</f>
        <v>Tabiquería</v>
      </c>
      <c r="F118" s="1" t="str">
        <f>VLOOKUP(D118,'BD Total'!$A$1:$G$506,3,0)</f>
        <v>Unidad</v>
      </c>
      <c r="G118" s="7">
        <f>VLOOKUP(D118,'BD Total'!$A$1:$G$506,4,0)</f>
        <v>6222</v>
      </c>
    </row>
    <row r="119" spans="1:7" x14ac:dyDescent="0.3">
      <c r="A119" s="1" t="s">
        <v>794</v>
      </c>
      <c r="B119" s="13">
        <v>1</v>
      </c>
      <c r="C119" s="7">
        <f t="shared" si="3"/>
        <v>3500</v>
      </c>
      <c r="D119" s="1" t="s">
        <v>353</v>
      </c>
      <c r="E119" s="1" t="str">
        <f>VLOOKUP(D119,'BD Total'!$A$1:$G$506,2,0)</f>
        <v>Puerta</v>
      </c>
      <c r="F119" s="1" t="str">
        <f>VLOOKUP(D119,'BD Total'!$A$1:$G$506,3,0)</f>
        <v>Unidad</v>
      </c>
      <c r="G119" s="7">
        <f>VLOOKUP(D119,'BD Total'!$A$1:$G$506,4,0)</f>
        <v>3500</v>
      </c>
    </row>
    <row r="120" spans="1:7" x14ac:dyDescent="0.3">
      <c r="A120" s="1" t="s">
        <v>794</v>
      </c>
      <c r="B120" s="13">
        <v>1</v>
      </c>
      <c r="C120" s="7">
        <f t="shared" si="3"/>
        <v>5000</v>
      </c>
      <c r="D120" s="1" t="s">
        <v>357</v>
      </c>
      <c r="E120" s="1" t="str">
        <f>VLOOKUP(D120,'BD Total'!$A$1:$G$506,2,0)</f>
        <v>Puerta</v>
      </c>
      <c r="F120" s="1" t="str">
        <f>VLOOKUP(D120,'BD Total'!$A$1:$G$506,3,0)</f>
        <v>Unidad</v>
      </c>
      <c r="G120" s="7">
        <f>VLOOKUP(D120,'BD Total'!$A$1:$G$506,4,0)</f>
        <v>5000</v>
      </c>
    </row>
    <row r="121" spans="1:7" x14ac:dyDescent="0.3">
      <c r="A121" s="1" t="s">
        <v>794</v>
      </c>
      <c r="B121" s="13">
        <v>1</v>
      </c>
      <c r="C121" s="7">
        <f t="shared" si="3"/>
        <v>11000</v>
      </c>
      <c r="D121" s="1" t="s">
        <v>364</v>
      </c>
      <c r="E121" s="1" t="str">
        <f>VLOOKUP(D121,'BD Total'!$A$1:$G$506,2,0)</f>
        <v>Puerta</v>
      </c>
      <c r="F121" s="1" t="str">
        <f>VLOOKUP(D121,'BD Total'!$A$1:$G$506,3,0)</f>
        <v>Unidad</v>
      </c>
      <c r="G121" s="7">
        <f>VLOOKUP(D121,'BD Total'!$A$1:$G$506,4,0)</f>
        <v>11000</v>
      </c>
    </row>
    <row r="122" spans="1:7" x14ac:dyDescent="0.3">
      <c r="A122" s="1" t="s">
        <v>794</v>
      </c>
      <c r="B122" s="13">
        <v>1</v>
      </c>
      <c r="C122" s="7">
        <f t="shared" si="3"/>
        <v>85000</v>
      </c>
      <c r="D122" s="1" t="s">
        <v>380</v>
      </c>
      <c r="E122" s="1" t="str">
        <f>VLOOKUP(D122,'BD Total'!$A$1:$G$506,2,0)</f>
        <v>Puerta</v>
      </c>
      <c r="F122" s="1" t="str">
        <f>VLOOKUP(D122,'BD Total'!$A$1:$G$506,3,0)</f>
        <v>Unidad</v>
      </c>
      <c r="G122" s="7">
        <f>VLOOKUP(D122,'BD Total'!$A$1:$G$506,4,0)</f>
        <v>85000</v>
      </c>
    </row>
    <row r="123" spans="1:7" x14ac:dyDescent="0.3">
      <c r="A123" s="1" t="s">
        <v>794</v>
      </c>
      <c r="B123" s="13">
        <v>1</v>
      </c>
      <c r="C123" s="7">
        <f t="shared" si="3"/>
        <v>3000</v>
      </c>
      <c r="D123" s="1" t="s">
        <v>412</v>
      </c>
      <c r="E123" s="1" t="str">
        <f>VLOOKUP(D123,'BD Total'!$A$1:$G$506,2,0)</f>
        <v>Puertas</v>
      </c>
      <c r="F123" s="1" t="str">
        <f>VLOOKUP(D123,'BD Total'!$A$1:$G$506,3,0)</f>
        <v>Unidad</v>
      </c>
      <c r="G123" s="7">
        <f>VLOOKUP(D123,'BD Total'!$A$1:$G$506,4,0)</f>
        <v>3000</v>
      </c>
    </row>
    <row r="124" spans="1:7" x14ac:dyDescent="0.3">
      <c r="A124" s="1" t="s">
        <v>794</v>
      </c>
      <c r="B124" s="13">
        <v>2</v>
      </c>
      <c r="C124" s="7">
        <f t="shared" si="3"/>
        <v>2400</v>
      </c>
      <c r="D124" s="1" t="s">
        <v>469</v>
      </c>
      <c r="E124" s="1" t="str">
        <f>VLOOKUP(D124,'BD Total'!$A$1:$G$506,2,0)</f>
        <v>Tabiquería</v>
      </c>
      <c r="F124" s="1" t="str">
        <f>VLOOKUP(D124,'BD Total'!$A$1:$G$506,3,0)</f>
        <v>Unidad</v>
      </c>
      <c r="G124" s="7">
        <f>VLOOKUP(D124,'BD Total'!$A$1:$G$506,4,0)</f>
        <v>1200</v>
      </c>
    </row>
    <row r="125" spans="1:7" x14ac:dyDescent="0.3">
      <c r="A125" s="1" t="s">
        <v>794</v>
      </c>
      <c r="B125" s="13">
        <v>2</v>
      </c>
      <c r="C125" s="7">
        <f t="shared" si="3"/>
        <v>5530</v>
      </c>
      <c r="D125" s="1" t="s">
        <v>482</v>
      </c>
      <c r="E125" s="1" t="str">
        <f>VLOOKUP(D125,'BD Total'!$A$1:$G$506,2,0)</f>
        <v>Tabiquería</v>
      </c>
      <c r="F125" s="1" t="str">
        <f>VLOOKUP(D125,'BD Total'!$A$1:$G$506,3,0)</f>
        <v>Unidad</v>
      </c>
      <c r="G125" s="7">
        <f>VLOOKUP(D125,'BD Total'!$A$1:$G$506,4,0)</f>
        <v>2765</v>
      </c>
    </row>
    <row r="126" spans="1:7" x14ac:dyDescent="0.3">
      <c r="A126" s="1" t="s">
        <v>794</v>
      </c>
      <c r="B126" s="13">
        <v>4</v>
      </c>
      <c r="C126" s="7">
        <f t="shared" si="3"/>
        <v>35804</v>
      </c>
      <c r="D126" s="1" t="s">
        <v>498</v>
      </c>
      <c r="E126" s="1" t="str">
        <f>VLOOKUP(D126,'BD Total'!$A$1:$G$506,2,0)</f>
        <v>Tabiquería</v>
      </c>
      <c r="F126" s="1" t="str">
        <f>VLOOKUP(D126,'BD Total'!$A$1:$G$506,3,0)</f>
        <v>Unidad</v>
      </c>
      <c r="G126" s="7">
        <f>VLOOKUP(D126,'BD Total'!$A$1:$G$506,4,0)</f>
        <v>8951</v>
      </c>
    </row>
    <row r="127" spans="1:7" x14ac:dyDescent="0.3">
      <c r="A127" s="1" t="s">
        <v>794</v>
      </c>
      <c r="B127" s="13">
        <v>4</v>
      </c>
      <c r="C127" s="7">
        <f t="shared" si="3"/>
        <v>20604</v>
      </c>
      <c r="D127" s="1" t="s">
        <v>547</v>
      </c>
      <c r="E127" s="1" t="str">
        <f>VLOOKUP(D127,'BD Total'!$A$1:$G$506,2,0)</f>
        <v>Tabiquería</v>
      </c>
      <c r="F127" s="1" t="str">
        <f>VLOOKUP(D127,'BD Total'!$A$1:$G$506,3,0)</f>
        <v>Unidad</v>
      </c>
      <c r="G127" s="7">
        <f>VLOOKUP(D127,'BD Total'!$A$1:$G$506,4,0)</f>
        <v>5151</v>
      </c>
    </row>
    <row r="128" spans="1:7" x14ac:dyDescent="0.3">
      <c r="A128" s="1" t="s">
        <v>794</v>
      </c>
      <c r="B128" s="13">
        <v>5</v>
      </c>
      <c r="C128" s="7">
        <f t="shared" ref="C128:C144" si="4">B128*G128</f>
        <v>31110</v>
      </c>
      <c r="D128" s="1" t="s">
        <v>553</v>
      </c>
      <c r="E128" s="1" t="str">
        <f>VLOOKUP(D128,'BD Total'!$A$1:$G$506,2,0)</f>
        <v>Tabiquería</v>
      </c>
      <c r="F128" s="1" t="str">
        <f>VLOOKUP(D128,'BD Total'!$A$1:$G$506,3,0)</f>
        <v>Unidad</v>
      </c>
      <c r="G128" s="7">
        <f>VLOOKUP(D128,'BD Total'!$A$1:$G$506,4,0)</f>
        <v>6222</v>
      </c>
    </row>
    <row r="129" spans="1:7" x14ac:dyDescent="0.3">
      <c r="A129" s="1" t="s">
        <v>572</v>
      </c>
      <c r="B129" s="13">
        <v>1</v>
      </c>
      <c r="C129" s="7">
        <f t="shared" si="4"/>
        <v>150000</v>
      </c>
      <c r="D129" s="1" t="s">
        <v>574</v>
      </c>
      <c r="E129" s="1" t="str">
        <f>VLOOKUP(D129,'BD Total'!$A$1:$G$506,2,0)</f>
        <v>Varios</v>
      </c>
      <c r="F129" s="1" t="str">
        <f>VLOOKUP(D129,'BD Total'!$A$1:$G$506,3,0)</f>
        <v>Unidad</v>
      </c>
      <c r="G129" s="7">
        <f>VLOOKUP(D129,'BD Total'!$A$1:$G$506,4,0)</f>
        <v>150000</v>
      </c>
    </row>
    <row r="130" spans="1:7" x14ac:dyDescent="0.3">
      <c r="A130" s="1" t="s">
        <v>572</v>
      </c>
      <c r="B130" s="13">
        <v>1</v>
      </c>
      <c r="C130" s="7">
        <f t="shared" si="4"/>
        <v>100000</v>
      </c>
      <c r="D130" s="1" t="s">
        <v>581</v>
      </c>
      <c r="E130" s="1" t="str">
        <f>VLOOKUP(D130,'BD Total'!$A$1:$G$506,2,0)</f>
        <v>Varios</v>
      </c>
      <c r="F130" s="1" t="str">
        <f>VLOOKUP(D130,'BD Total'!$A$1:$G$506,3,0)</f>
        <v>Unidad</v>
      </c>
      <c r="G130" s="7">
        <f>VLOOKUP(D130,'BD Total'!$A$1:$G$506,4,0)</f>
        <v>100000</v>
      </c>
    </row>
    <row r="131" spans="1:7" x14ac:dyDescent="0.3">
      <c r="A131" s="1" t="s">
        <v>572</v>
      </c>
      <c r="B131" s="13">
        <v>1</v>
      </c>
      <c r="C131" s="7">
        <f t="shared" si="4"/>
        <v>100000</v>
      </c>
      <c r="D131" s="1" t="s">
        <v>583</v>
      </c>
      <c r="E131" s="1" t="str">
        <f>VLOOKUP(D131,'BD Total'!$A$1:$G$506,2,0)</f>
        <v>Varios</v>
      </c>
      <c r="F131" s="1" t="str">
        <f>VLOOKUP(D131,'BD Total'!$A$1:$G$506,3,0)</f>
        <v>Unidad</v>
      </c>
      <c r="G131" s="7">
        <f>VLOOKUP(D131,'BD Total'!$A$1:$G$506,4,0)</f>
        <v>100000</v>
      </c>
    </row>
    <row r="132" spans="1:7" x14ac:dyDescent="0.3">
      <c r="A132" s="1" t="s">
        <v>572</v>
      </c>
      <c r="B132" s="13">
        <v>1</v>
      </c>
      <c r="C132" s="7">
        <f t="shared" si="4"/>
        <v>100000</v>
      </c>
      <c r="D132" s="1" t="s">
        <v>584</v>
      </c>
      <c r="E132" s="1" t="str">
        <f>VLOOKUP(D132,'BD Total'!$A$1:$G$506,2,0)</f>
        <v>Varios</v>
      </c>
      <c r="F132" s="1" t="str">
        <f>VLOOKUP(D132,'BD Total'!$A$1:$G$506,3,0)</f>
        <v>Unidad</v>
      </c>
      <c r="G132" s="7">
        <f>VLOOKUP(D132,'BD Total'!$A$1:$G$506,4,0)</f>
        <v>100000</v>
      </c>
    </row>
    <row r="133" spans="1:7" x14ac:dyDescent="0.3">
      <c r="A133" s="1" t="s">
        <v>572</v>
      </c>
      <c r="B133" s="13">
        <v>1</v>
      </c>
      <c r="C133" s="7">
        <f t="shared" si="4"/>
        <v>120000</v>
      </c>
      <c r="D133" s="1" t="s">
        <v>586</v>
      </c>
      <c r="E133" s="1" t="str">
        <f>VLOOKUP(D133,'BD Total'!$A$1:$G$506,2,0)</f>
        <v>Varios</v>
      </c>
      <c r="F133" s="1" t="str">
        <f>VLOOKUP(D133,'BD Total'!$A$1:$G$506,3,0)</f>
        <v>Unidad</v>
      </c>
      <c r="G133" s="7">
        <f>VLOOKUP(D133,'BD Total'!$A$1:$G$506,4,0)</f>
        <v>120000</v>
      </c>
    </row>
    <row r="134" spans="1:7" x14ac:dyDescent="0.3">
      <c r="A134" s="1" t="s">
        <v>572</v>
      </c>
      <c r="B134" s="13">
        <v>1</v>
      </c>
      <c r="C134" s="7">
        <f t="shared" si="4"/>
        <v>250000</v>
      </c>
      <c r="D134" s="1" t="s">
        <v>594</v>
      </c>
      <c r="E134" s="1" t="str">
        <f>VLOOKUP(D134,'BD Total'!$A$1:$G$506,2,0)</f>
        <v>Varios</v>
      </c>
      <c r="F134" s="1" t="str">
        <f>VLOOKUP(D134,'BD Total'!$A$1:$G$506,3,0)</f>
        <v>Unidad</v>
      </c>
      <c r="G134" s="7">
        <f>VLOOKUP(D134,'BD Total'!$A$1:$G$506,4,0)</f>
        <v>250000</v>
      </c>
    </row>
    <row r="135" spans="1:7" x14ac:dyDescent="0.3">
      <c r="A135" s="1" t="s">
        <v>572</v>
      </c>
      <c r="B135" s="13">
        <v>1</v>
      </c>
      <c r="C135" s="7">
        <f t="shared" si="4"/>
        <v>16000</v>
      </c>
      <c r="D135" s="1" t="s">
        <v>595</v>
      </c>
      <c r="E135" s="1" t="str">
        <f>VLOOKUP(D135,'BD Total'!$A$1:$G$506,2,0)</f>
        <v>Varios</v>
      </c>
      <c r="F135" s="1" t="str">
        <f>VLOOKUP(D135,'BD Total'!$A$1:$G$506,3,0)</f>
        <v>General</v>
      </c>
      <c r="G135" s="7">
        <f>VLOOKUP(D135,'BD Total'!$A$1:$G$506,4,0)</f>
        <v>16000</v>
      </c>
    </row>
    <row r="136" spans="1:7" x14ac:dyDescent="0.3">
      <c r="A136" s="1" t="s">
        <v>572</v>
      </c>
      <c r="B136" s="13">
        <v>1</v>
      </c>
      <c r="C136" s="7">
        <f t="shared" si="4"/>
        <v>200000</v>
      </c>
      <c r="D136" s="1" t="s">
        <v>597</v>
      </c>
      <c r="E136" s="1" t="str">
        <f>VLOOKUP(D136,'BD Total'!$A$1:$G$506,2,0)</f>
        <v>Varios</v>
      </c>
      <c r="F136" s="1" t="str">
        <f>VLOOKUP(D136,'BD Total'!$A$1:$G$506,3,0)</f>
        <v>Unidad</v>
      </c>
      <c r="G136" s="7">
        <f>VLOOKUP(D136,'BD Total'!$A$1:$G$506,4,0)</f>
        <v>200000</v>
      </c>
    </row>
    <row r="137" spans="1:7" x14ac:dyDescent="0.3">
      <c r="A137" s="1" t="s">
        <v>572</v>
      </c>
      <c r="B137" s="13">
        <v>1</v>
      </c>
      <c r="C137" s="7">
        <f t="shared" si="4"/>
        <v>300000</v>
      </c>
      <c r="D137" s="1" t="s">
        <v>598</v>
      </c>
      <c r="E137" s="1" t="str">
        <f>VLOOKUP(D137,'BD Total'!$A$1:$G$506,2,0)</f>
        <v>Varios</v>
      </c>
      <c r="F137" s="1" t="str">
        <f>VLOOKUP(D137,'BD Total'!$A$1:$G$506,3,0)</f>
        <v>Unidad</v>
      </c>
      <c r="G137" s="7">
        <f>VLOOKUP(D137,'BD Total'!$A$1:$G$506,4,0)</f>
        <v>300000</v>
      </c>
    </row>
    <row r="138" spans="1:7" x14ac:dyDescent="0.3">
      <c r="A138" s="1" t="s">
        <v>572</v>
      </c>
      <c r="B138" s="13">
        <v>2</v>
      </c>
      <c r="C138" s="7">
        <f t="shared" si="4"/>
        <v>100000</v>
      </c>
      <c r="D138" s="1" t="s">
        <v>599</v>
      </c>
      <c r="E138" s="1" t="str">
        <f>VLOOKUP(D138,'BD Total'!$A$1:$G$506,2,0)</f>
        <v>Varios</v>
      </c>
      <c r="F138" s="1" t="str">
        <f>VLOOKUP(D138,'BD Total'!$A$1:$G$506,3,0)</f>
        <v>Unidad</v>
      </c>
      <c r="G138" s="7">
        <f>VLOOKUP(D138,'BD Total'!$A$1:$G$506,4,0)</f>
        <v>50000</v>
      </c>
    </row>
    <row r="139" spans="1:7" x14ac:dyDescent="0.3">
      <c r="A139" s="1" t="s">
        <v>572</v>
      </c>
      <c r="B139" s="13">
        <v>1</v>
      </c>
      <c r="C139" s="7">
        <f t="shared" si="4"/>
        <v>25000</v>
      </c>
      <c r="D139" s="1" t="s">
        <v>601</v>
      </c>
      <c r="E139" s="1" t="str">
        <f>VLOOKUP(D139,'BD Total'!$A$1:$G$506,2,0)</f>
        <v>Varios</v>
      </c>
      <c r="F139" s="1" t="str">
        <f>VLOOKUP(D139,'BD Total'!$A$1:$G$506,3,0)</f>
        <v>Unidad</v>
      </c>
      <c r="G139" s="7">
        <f>VLOOKUP(D139,'BD Total'!$A$1:$G$506,4,0)</f>
        <v>25000</v>
      </c>
    </row>
    <row r="140" spans="1:7" x14ac:dyDescent="0.3">
      <c r="A140" s="1" t="s">
        <v>187</v>
      </c>
      <c r="B140" s="18">
        <v>1</v>
      </c>
      <c r="C140" s="20">
        <f t="shared" si="4"/>
        <v>1750000</v>
      </c>
      <c r="D140" s="1" t="s">
        <v>187</v>
      </c>
      <c r="E140" s="1" t="str">
        <f>VLOOKUP(D140,'BD Total'!$A$1:$G$506,2,0)</f>
        <v>Container</v>
      </c>
      <c r="F140" s="1" t="str">
        <f>VLOOKUP(D140,'BD Total'!$A$1:$G$506,3,0)</f>
        <v>Unidad</v>
      </c>
      <c r="G140" s="7">
        <f>VLOOKUP(D140,'BD Total'!$A$1:$G$506,4,0)</f>
        <v>1750000</v>
      </c>
    </row>
    <row r="141" spans="1:7" x14ac:dyDescent="0.3">
      <c r="A141" s="1" t="s">
        <v>190</v>
      </c>
      <c r="B141" s="18">
        <v>1</v>
      </c>
      <c r="C141" s="20">
        <f t="shared" si="4"/>
        <v>1950000</v>
      </c>
      <c r="D141" s="1" t="s">
        <v>190</v>
      </c>
      <c r="E141" s="1" t="str">
        <f>VLOOKUP(D141,'BD Total'!$A$1:$G$506,2,0)</f>
        <v>Container</v>
      </c>
      <c r="F141" s="1" t="str">
        <f>VLOOKUP(D141,'BD Total'!$A$1:$G$506,3,0)</f>
        <v>Unidad</v>
      </c>
      <c r="G141" s="7">
        <f>VLOOKUP(D141,'BD Total'!$A$1:$G$506,4,0)</f>
        <v>1950000</v>
      </c>
    </row>
    <row r="142" spans="1:7" x14ac:dyDescent="0.3">
      <c r="A142" s="1" t="s">
        <v>192</v>
      </c>
      <c r="B142" s="18">
        <v>1</v>
      </c>
      <c r="C142" s="20">
        <f t="shared" si="4"/>
        <v>2000000</v>
      </c>
      <c r="D142" s="1" t="s">
        <v>192</v>
      </c>
      <c r="E142" s="1" t="str">
        <f>VLOOKUP(D142,'BD Total'!$A$1:$G$506,2,0)</f>
        <v>Container</v>
      </c>
      <c r="F142" s="1" t="str">
        <f>VLOOKUP(D142,'BD Total'!$A$1:$G$506,3,0)</f>
        <v>Unidad</v>
      </c>
      <c r="G142" s="7">
        <f>VLOOKUP(D142,'BD Total'!$A$1:$G$506,4,0)</f>
        <v>2000000</v>
      </c>
    </row>
    <row r="143" spans="1:7" x14ac:dyDescent="0.3">
      <c r="A143" s="1" t="s">
        <v>194</v>
      </c>
      <c r="B143" s="18">
        <v>1</v>
      </c>
      <c r="C143" s="20">
        <f t="shared" si="4"/>
        <v>1994000</v>
      </c>
      <c r="D143" s="1" t="s">
        <v>194</v>
      </c>
      <c r="E143" s="1" t="str">
        <f>VLOOKUP(D143,'BD Total'!$A$1:$G$506,2,0)</f>
        <v>Container</v>
      </c>
      <c r="F143" s="1" t="str">
        <f>VLOOKUP(D143,'BD Total'!$A$1:$G$506,3,0)</f>
        <v>Unidad</v>
      </c>
      <c r="G143" s="7">
        <f>VLOOKUP(D143,'BD Total'!$A$1:$G$506,4,0)</f>
        <v>1994000</v>
      </c>
    </row>
    <row r="144" spans="1:7" x14ac:dyDescent="0.3">
      <c r="A144" s="1" t="s">
        <v>196</v>
      </c>
      <c r="B144" s="18">
        <v>1</v>
      </c>
      <c r="C144" s="20">
        <f t="shared" si="4"/>
        <v>3400000</v>
      </c>
      <c r="D144" s="1" t="s">
        <v>196</v>
      </c>
      <c r="E144" s="1" t="str">
        <f>VLOOKUP(D144,'BD Total'!$A$1:$G$506,2,0)</f>
        <v>Container</v>
      </c>
      <c r="F144" s="1" t="str">
        <f>VLOOKUP(D144,'BD Total'!$A$1:$G$506,3,0)</f>
        <v>Unidad</v>
      </c>
      <c r="G144" s="7">
        <f>VLOOKUP(D144,'BD Total'!$A$1:$G$506,4,0)</f>
        <v>3400000</v>
      </c>
    </row>
  </sheetData>
  <sheetProtection algorithmName="SHA-512" hashValue="WYxgxDTR5CthmKgEREsbaruBDJUdWLgDq8RRMoRksnEpNyXwJ1tz9BPNAfFuphxdiZ8SlVlWy+9fYDzihpwWIg==" saltValue="QtmQzWLYotrV25Yzr+DRWA==" spinCount="100000" sheet="1" selectLockedCells="1" selectUnlockedCells="1"/>
  <protectedRanges>
    <protectedRange sqref="D74" name="categoria e item"/>
    <protectedRange sqref="D71" name="categoria e item_6"/>
    <protectedRange sqref="D72:D73" name="categoria e item_7"/>
    <protectedRange sqref="D75:D84" name="categoria e item_8"/>
    <protectedRange sqref="B85:B110" name="q_2"/>
    <protectedRange sqref="B111" name="q_3"/>
    <protectedRange sqref="D114:D118" name="categoria e item_6_1"/>
    <protectedRange sqref="D119:D122" name="categoria e item_6_2"/>
    <protectedRange sqref="D123:D127" name="categoria e item_5"/>
    <protectedRange sqref="D128" name="categoria e item_6_3"/>
    <protectedRange sqref="D42" name="Rango1 tabla"/>
    <protectedRange sqref="D43" name="Rango1 tabla_1"/>
  </protectedRanges>
  <autoFilter ref="A1:G144" xr:uid="{7960F9AE-C2A2-4BC5-874D-BCDBC81CECD8}"/>
  <sortState xmlns:xlrd2="http://schemas.microsoft.com/office/spreadsheetml/2017/richdata2" ref="A2:H139">
    <sortCondition ref="A2:A139"/>
    <sortCondition ref="E2:E139"/>
    <sortCondition ref="D2:D139"/>
  </sortState>
  <phoneticPr fontId="15" type="noConversion"/>
  <dataValidations count="1">
    <dataValidation type="list" allowBlank="1" showInputMessage="1" showErrorMessage="1" sqref="D112:D139 D28 D42:D43 D64:D84" xr:uid="{356E08B6-3AFB-45D6-A9C9-3072F2929B32}">
      <formula1>INDIRECT(C28)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9917-95E0-46B8-BC1A-6BD5EF2FB048}">
  <dimension ref="A1:P55"/>
  <sheetViews>
    <sheetView showGridLines="0" tabSelected="1" workbookViewId="0">
      <selection activeCell="D11" sqref="D11"/>
    </sheetView>
  </sheetViews>
  <sheetFormatPr baseColWidth="10" defaultColWidth="11.44140625" defaultRowHeight="14.4" x14ac:dyDescent="0.3"/>
  <cols>
    <col min="2" max="2" width="20.6640625" bestFit="1" customWidth="1"/>
    <col min="5" max="5" width="20.6640625" bestFit="1" customWidth="1"/>
    <col min="8" max="8" width="21.44140625" customWidth="1"/>
    <col min="11" max="11" width="14.44140625" bestFit="1" customWidth="1"/>
    <col min="14" max="14" width="18.44140625" customWidth="1"/>
    <col min="15" max="15" width="10.5546875" customWidth="1"/>
  </cols>
  <sheetData>
    <row r="1" spans="1:16" ht="15" thickBot="1" x14ac:dyDescent="0.35"/>
    <row r="2" spans="1:16" ht="15" thickBot="1" x14ac:dyDescent="0.35">
      <c r="B2" s="157" t="s">
        <v>795</v>
      </c>
      <c r="C2" s="158"/>
      <c r="E2" s="149" t="s">
        <v>796</v>
      </c>
      <c r="F2" s="150"/>
      <c r="H2" s="151" t="s">
        <v>797</v>
      </c>
      <c r="I2" s="152"/>
      <c r="K2" s="153" t="s">
        <v>798</v>
      </c>
      <c r="L2" s="154"/>
      <c r="N2" s="155" t="s">
        <v>799</v>
      </c>
      <c r="O2" s="156"/>
    </row>
    <row r="3" spans="1:16" x14ac:dyDescent="0.3">
      <c r="B3" s="23"/>
      <c r="C3" s="56">
        <v>1</v>
      </c>
      <c r="E3" s="23"/>
      <c r="F3" s="56">
        <v>1</v>
      </c>
      <c r="H3" s="23"/>
      <c r="I3" s="56">
        <v>1</v>
      </c>
      <c r="N3" s="23"/>
      <c r="O3" s="68"/>
    </row>
    <row r="4" spans="1:16" x14ac:dyDescent="0.3">
      <c r="B4" s="23"/>
      <c r="C4" s="56">
        <v>1</v>
      </c>
      <c r="E4" s="23"/>
      <c r="F4" s="56">
        <v>1</v>
      </c>
      <c r="H4" s="23"/>
      <c r="I4" s="56">
        <v>1</v>
      </c>
      <c r="K4" s="25" t="s">
        <v>800</v>
      </c>
      <c r="L4" s="55">
        <v>55</v>
      </c>
      <c r="N4" s="23" t="s">
        <v>801</v>
      </c>
      <c r="O4" s="68">
        <f>F55</f>
        <v>4.1666666666666666E-3</v>
      </c>
    </row>
    <row r="5" spans="1:16" ht="15" thickBot="1" x14ac:dyDescent="0.35">
      <c r="B5" s="23"/>
      <c r="C5" s="56">
        <v>1</v>
      </c>
      <c r="E5" s="23"/>
      <c r="F5" s="56">
        <v>1</v>
      </c>
      <c r="H5" s="23"/>
      <c r="I5" s="56">
        <v>1</v>
      </c>
      <c r="K5" s="23" t="s">
        <v>802</v>
      </c>
      <c r="L5" s="56">
        <v>2</v>
      </c>
      <c r="N5" s="23" t="s">
        <v>803</v>
      </c>
      <c r="O5" s="68">
        <f>I55</f>
        <v>10.189166666666667</v>
      </c>
    </row>
    <row r="6" spans="1:16" ht="15" thickBot="1" x14ac:dyDescent="0.35">
      <c r="B6" s="23"/>
      <c r="C6" s="56">
        <v>1</v>
      </c>
      <c r="E6" s="23"/>
      <c r="F6" s="56">
        <v>1</v>
      </c>
      <c r="H6" s="23"/>
      <c r="I6" s="56">
        <v>1</v>
      </c>
      <c r="K6" s="72" t="s">
        <v>804</v>
      </c>
      <c r="L6" s="73">
        <f>L4*L5*2</f>
        <v>220</v>
      </c>
      <c r="N6" s="78" t="s">
        <v>805</v>
      </c>
      <c r="O6" s="81">
        <f>SUM(O4:O5)</f>
        <v>10.193333333333333</v>
      </c>
    </row>
    <row r="7" spans="1:16" x14ac:dyDescent="0.3">
      <c r="A7" s="88"/>
      <c r="B7" s="23"/>
      <c r="C7" s="56">
        <v>1</v>
      </c>
      <c r="E7" s="23"/>
      <c r="F7" s="56">
        <v>1</v>
      </c>
      <c r="H7" s="23"/>
      <c r="I7" s="56">
        <v>12222</v>
      </c>
    </row>
    <row r="8" spans="1:16" x14ac:dyDescent="0.3">
      <c r="B8" s="23"/>
      <c r="C8" s="56"/>
      <c r="E8" s="23"/>
      <c r="F8" s="56"/>
      <c r="H8" s="23"/>
      <c r="I8" s="56">
        <v>1</v>
      </c>
      <c r="K8" s="25" t="s">
        <v>806</v>
      </c>
      <c r="L8" s="55">
        <v>77</v>
      </c>
      <c r="N8" s="37" t="s">
        <v>807</v>
      </c>
    </row>
    <row r="9" spans="1:16" ht="15" thickBot="1" x14ac:dyDescent="0.35">
      <c r="B9" s="23"/>
      <c r="C9" s="56"/>
      <c r="E9" s="23"/>
      <c r="F9" s="56"/>
      <c r="H9" s="23"/>
      <c r="I9" s="56"/>
      <c r="K9" s="23" t="s">
        <v>802</v>
      </c>
      <c r="L9" s="56">
        <v>12</v>
      </c>
      <c r="N9" s="25" t="s">
        <v>808</v>
      </c>
      <c r="O9" s="82"/>
      <c r="P9" s="55">
        <v>5</v>
      </c>
    </row>
    <row r="10" spans="1:16" ht="15" thickBot="1" x14ac:dyDescent="0.35">
      <c r="A10" s="87"/>
      <c r="B10" s="23"/>
      <c r="C10" s="56"/>
      <c r="E10" s="23"/>
      <c r="F10" s="56"/>
      <c r="H10" s="23"/>
      <c r="I10" s="56"/>
      <c r="K10" s="72" t="s">
        <v>809</v>
      </c>
      <c r="L10" s="73">
        <f>L8*L9*2</f>
        <v>1848</v>
      </c>
      <c r="N10" s="24" t="s">
        <v>810</v>
      </c>
      <c r="O10" s="83"/>
      <c r="P10" s="57">
        <v>10</v>
      </c>
    </row>
    <row r="11" spans="1:16" x14ac:dyDescent="0.3">
      <c r="B11" s="23"/>
      <c r="C11" s="56"/>
      <c r="E11" s="23"/>
      <c r="F11" s="56"/>
      <c r="H11" s="23"/>
      <c r="I11" s="56"/>
    </row>
    <row r="12" spans="1:16" x14ac:dyDescent="0.3">
      <c r="B12" s="23"/>
      <c r="C12" s="56"/>
      <c r="E12" s="23"/>
      <c r="F12" s="56"/>
      <c r="H12" s="23"/>
      <c r="I12" s="56"/>
      <c r="K12" s="25" t="s">
        <v>811</v>
      </c>
      <c r="L12" s="55">
        <v>12</v>
      </c>
    </row>
    <row r="13" spans="1:16" ht="15" thickBot="1" x14ac:dyDescent="0.35">
      <c r="B13" s="23"/>
      <c r="C13" s="56"/>
      <c r="E13" s="23"/>
      <c r="F13" s="56"/>
      <c r="H13" s="23"/>
      <c r="I13" s="56"/>
      <c r="K13" s="23" t="s">
        <v>806</v>
      </c>
      <c r="L13" s="56">
        <v>12</v>
      </c>
    </row>
    <row r="14" spans="1:16" ht="15" thickBot="1" x14ac:dyDescent="0.35">
      <c r="B14" s="23"/>
      <c r="C14" s="56"/>
      <c r="E14" s="23"/>
      <c r="F14" s="56"/>
      <c r="H14" s="23"/>
      <c r="I14" s="56"/>
      <c r="K14" s="72" t="s">
        <v>812</v>
      </c>
      <c r="L14" s="73">
        <f>L12*L13</f>
        <v>144</v>
      </c>
    </row>
    <row r="15" spans="1:16" ht="15" thickBot="1" x14ac:dyDescent="0.35">
      <c r="B15" s="23"/>
      <c r="C15" s="56"/>
      <c r="E15" s="23"/>
      <c r="F15" s="56"/>
      <c r="H15" s="23"/>
      <c r="I15" s="56"/>
      <c r="K15" s="23"/>
      <c r="L15" s="56"/>
    </row>
    <row r="16" spans="1:16" ht="15" thickBot="1" x14ac:dyDescent="0.35">
      <c r="B16" s="23"/>
      <c r="C16" s="56"/>
      <c r="E16" s="23"/>
      <c r="F16" s="56"/>
      <c r="H16" s="23"/>
      <c r="I16" s="56"/>
      <c r="K16" s="72" t="s">
        <v>813</v>
      </c>
      <c r="L16" s="86">
        <f>L14+L10+L6</f>
        <v>2212</v>
      </c>
    </row>
    <row r="17" spans="2:9" x14ac:dyDescent="0.3">
      <c r="B17" s="23"/>
      <c r="C17" s="56"/>
      <c r="E17" s="23"/>
      <c r="F17" s="56"/>
      <c r="H17" s="23"/>
      <c r="I17" s="56"/>
    </row>
    <row r="18" spans="2:9" x14ac:dyDescent="0.3">
      <c r="B18" s="23"/>
      <c r="C18" s="56"/>
      <c r="E18" s="23"/>
      <c r="F18" s="56"/>
      <c r="H18" s="23"/>
      <c r="I18" s="56"/>
    </row>
    <row r="19" spans="2:9" x14ac:dyDescent="0.3">
      <c r="B19" s="23"/>
      <c r="C19" s="56"/>
      <c r="E19" s="23"/>
      <c r="F19" s="56"/>
      <c r="H19" s="23"/>
      <c r="I19" s="56"/>
    </row>
    <row r="20" spans="2:9" x14ac:dyDescent="0.3">
      <c r="B20" s="23"/>
      <c r="C20" s="56"/>
      <c r="E20" s="23"/>
      <c r="F20" s="56"/>
      <c r="H20" s="23"/>
      <c r="I20" s="56"/>
    </row>
    <row r="21" spans="2:9" x14ac:dyDescent="0.3">
      <c r="B21" s="23"/>
      <c r="C21" s="56"/>
      <c r="E21" s="23"/>
      <c r="F21" s="56"/>
      <c r="H21" s="23"/>
      <c r="I21" s="56"/>
    </row>
    <row r="22" spans="2:9" x14ac:dyDescent="0.3">
      <c r="B22" s="23"/>
      <c r="C22" s="56"/>
      <c r="E22" s="23"/>
      <c r="F22" s="56"/>
      <c r="H22" s="23"/>
      <c r="I22" s="56"/>
    </row>
    <row r="23" spans="2:9" x14ac:dyDescent="0.3">
      <c r="B23" s="23"/>
      <c r="C23" s="56"/>
      <c r="E23" s="23"/>
      <c r="F23" s="56"/>
      <c r="H23" s="23"/>
      <c r="I23" s="56"/>
    </row>
    <row r="24" spans="2:9" x14ac:dyDescent="0.3">
      <c r="B24" s="23"/>
      <c r="C24" s="56"/>
      <c r="E24" s="23"/>
      <c r="F24" s="56"/>
      <c r="H24" s="23"/>
      <c r="I24" s="56"/>
    </row>
    <row r="25" spans="2:9" x14ac:dyDescent="0.3">
      <c r="B25" s="23"/>
      <c r="C25" s="56"/>
      <c r="E25" s="23"/>
      <c r="F25" s="56"/>
      <c r="H25" s="23"/>
      <c r="I25" s="56"/>
    </row>
    <row r="26" spans="2:9" x14ac:dyDescent="0.3">
      <c r="B26" s="23"/>
      <c r="C26" s="56"/>
      <c r="E26" s="23"/>
      <c r="F26" s="56"/>
      <c r="H26" s="23"/>
      <c r="I26" s="56"/>
    </row>
    <row r="27" spans="2:9" x14ac:dyDescent="0.3">
      <c r="B27" s="23"/>
      <c r="C27" s="56"/>
      <c r="E27" s="23"/>
      <c r="F27" s="56"/>
      <c r="H27" s="23"/>
      <c r="I27" s="56"/>
    </row>
    <row r="28" spans="2:9" x14ac:dyDescent="0.3">
      <c r="B28" s="23"/>
      <c r="C28" s="56"/>
      <c r="E28" s="23"/>
      <c r="F28" s="56"/>
      <c r="H28" s="23"/>
      <c r="I28" s="56"/>
    </row>
    <row r="29" spans="2:9" x14ac:dyDescent="0.3">
      <c r="B29" s="23"/>
      <c r="C29" s="56"/>
      <c r="E29" s="23"/>
      <c r="F29" s="56"/>
      <c r="H29" s="23"/>
      <c r="I29" s="56"/>
    </row>
    <row r="30" spans="2:9" x14ac:dyDescent="0.3">
      <c r="B30" s="23"/>
      <c r="C30" s="56"/>
      <c r="E30" s="23"/>
      <c r="F30" s="56"/>
      <c r="H30" s="23"/>
      <c r="I30" s="56"/>
    </row>
    <row r="31" spans="2:9" x14ac:dyDescent="0.3">
      <c r="B31" s="23"/>
      <c r="C31" s="56"/>
      <c r="E31" s="23"/>
      <c r="F31" s="56"/>
      <c r="H31" s="23"/>
      <c r="I31" s="56"/>
    </row>
    <row r="32" spans="2:9" x14ac:dyDescent="0.3">
      <c r="B32" s="23"/>
      <c r="C32" s="56"/>
      <c r="E32" s="23"/>
      <c r="F32" s="56"/>
      <c r="H32" s="23"/>
      <c r="I32" s="56"/>
    </row>
    <row r="33" spans="2:9" x14ac:dyDescent="0.3">
      <c r="B33" s="23"/>
      <c r="C33" s="56"/>
      <c r="E33" s="23"/>
      <c r="F33" s="56"/>
      <c r="H33" s="23"/>
      <c r="I33" s="56"/>
    </row>
    <row r="34" spans="2:9" x14ac:dyDescent="0.3">
      <c r="B34" s="23"/>
      <c r="C34" s="56"/>
      <c r="E34" s="23"/>
      <c r="F34" s="56"/>
      <c r="H34" s="23"/>
      <c r="I34" s="56"/>
    </row>
    <row r="35" spans="2:9" x14ac:dyDescent="0.3">
      <c r="B35" s="23"/>
      <c r="C35" s="56"/>
      <c r="E35" s="23"/>
      <c r="F35" s="56"/>
      <c r="H35" s="23"/>
      <c r="I35" s="56"/>
    </row>
    <row r="36" spans="2:9" x14ac:dyDescent="0.3">
      <c r="B36" s="23"/>
      <c r="C36" s="56"/>
      <c r="E36" s="23"/>
      <c r="F36" s="56"/>
      <c r="H36" s="23"/>
      <c r="I36" s="56"/>
    </row>
    <row r="37" spans="2:9" x14ac:dyDescent="0.3">
      <c r="B37" s="23"/>
      <c r="C37" s="56"/>
      <c r="E37" s="23"/>
      <c r="F37" s="56"/>
      <c r="H37" s="23"/>
      <c r="I37" s="56"/>
    </row>
    <row r="38" spans="2:9" x14ac:dyDescent="0.3">
      <c r="B38" s="23"/>
      <c r="C38" s="56"/>
      <c r="E38" s="23"/>
      <c r="F38" s="56"/>
      <c r="H38" s="23"/>
      <c r="I38" s="56"/>
    </row>
    <row r="39" spans="2:9" x14ac:dyDescent="0.3">
      <c r="B39" s="23"/>
      <c r="C39" s="56"/>
      <c r="E39" s="23"/>
      <c r="F39" s="56"/>
      <c r="H39" s="23"/>
      <c r="I39" s="56"/>
    </row>
    <row r="40" spans="2:9" x14ac:dyDescent="0.3">
      <c r="B40" s="23"/>
      <c r="C40" s="56"/>
      <c r="E40" s="23"/>
      <c r="F40" s="56"/>
      <c r="H40" s="23"/>
      <c r="I40" s="56"/>
    </row>
    <row r="41" spans="2:9" x14ac:dyDescent="0.3">
      <c r="B41" s="23"/>
      <c r="C41" s="56"/>
      <c r="E41" s="23"/>
      <c r="F41" s="56"/>
      <c r="H41" s="23"/>
      <c r="I41" s="56"/>
    </row>
    <row r="42" spans="2:9" x14ac:dyDescent="0.3">
      <c r="B42" s="23"/>
      <c r="C42" s="56"/>
      <c r="E42" s="23"/>
      <c r="F42" s="56"/>
      <c r="H42" s="23"/>
      <c r="I42" s="56"/>
    </row>
    <row r="43" spans="2:9" x14ac:dyDescent="0.3">
      <c r="B43" s="23"/>
      <c r="C43" s="56"/>
      <c r="E43" s="23"/>
      <c r="F43" s="56"/>
      <c r="H43" s="23"/>
      <c r="I43" s="56"/>
    </row>
    <row r="44" spans="2:9" x14ac:dyDescent="0.3">
      <c r="B44" s="23"/>
      <c r="C44" s="56"/>
      <c r="E44" s="23"/>
      <c r="F44" s="56"/>
      <c r="H44" s="23"/>
      <c r="I44" s="56"/>
    </row>
    <row r="45" spans="2:9" x14ac:dyDescent="0.3">
      <c r="B45" s="23"/>
      <c r="C45" s="56"/>
      <c r="E45" s="23"/>
      <c r="F45" s="56"/>
      <c r="H45" s="23"/>
      <c r="I45" s="56"/>
    </row>
    <row r="46" spans="2:9" x14ac:dyDescent="0.3">
      <c r="B46" s="23"/>
      <c r="C46" s="56"/>
      <c r="E46" s="23"/>
      <c r="F46" s="56"/>
      <c r="H46" s="23"/>
      <c r="I46" s="56"/>
    </row>
    <row r="47" spans="2:9" x14ac:dyDescent="0.3">
      <c r="B47" s="23"/>
      <c r="C47" s="56"/>
      <c r="E47" s="23"/>
      <c r="F47" s="56"/>
      <c r="H47" s="23"/>
      <c r="I47" s="56"/>
    </row>
    <row r="48" spans="2:9" x14ac:dyDescent="0.3">
      <c r="B48" s="23"/>
      <c r="C48" s="56"/>
      <c r="E48" s="23"/>
      <c r="F48" s="56"/>
      <c r="H48" s="23"/>
      <c r="I48" s="56"/>
    </row>
    <row r="49" spans="2:9" x14ac:dyDescent="0.3">
      <c r="B49" s="23"/>
      <c r="C49" s="56"/>
      <c r="E49" s="23"/>
      <c r="F49" s="56"/>
      <c r="H49" s="23"/>
      <c r="I49" s="56"/>
    </row>
    <row r="50" spans="2:9" x14ac:dyDescent="0.3">
      <c r="B50" s="23"/>
      <c r="C50" s="56"/>
      <c r="E50" s="23"/>
      <c r="F50" s="56"/>
      <c r="H50" s="23"/>
      <c r="I50" s="56"/>
    </row>
    <row r="51" spans="2:9" x14ac:dyDescent="0.3">
      <c r="B51" s="23"/>
      <c r="C51" s="56"/>
      <c r="E51" s="23"/>
      <c r="F51" s="56"/>
      <c r="H51" s="23"/>
      <c r="I51" s="56"/>
    </row>
    <row r="52" spans="2:9" x14ac:dyDescent="0.3">
      <c r="B52" s="23"/>
      <c r="C52" s="56"/>
      <c r="E52" s="23"/>
      <c r="F52" s="56"/>
      <c r="H52" s="23"/>
      <c r="I52" s="56"/>
    </row>
    <row r="53" spans="2:9" x14ac:dyDescent="0.3">
      <c r="B53" s="23"/>
      <c r="C53" s="56"/>
      <c r="E53" s="23"/>
      <c r="F53" s="56"/>
      <c r="H53" s="23"/>
      <c r="I53" s="56"/>
    </row>
    <row r="54" spans="2:9" ht="15" thickBot="1" x14ac:dyDescent="0.35">
      <c r="B54" s="23"/>
      <c r="C54" s="56"/>
      <c r="E54" s="23"/>
      <c r="F54" s="56"/>
      <c r="H54" s="23"/>
      <c r="I54" s="56"/>
    </row>
    <row r="55" spans="2:9" ht="15" thickBot="1" x14ac:dyDescent="0.35">
      <c r="B55" s="79" t="s">
        <v>814</v>
      </c>
      <c r="C55" s="80">
        <f>SUM(C3:C54)/1200</f>
        <v>4.1666666666666666E-3</v>
      </c>
      <c r="E55" s="74" t="s">
        <v>814</v>
      </c>
      <c r="F55" s="77">
        <f>SUM(F3:F54)/1200</f>
        <v>4.1666666666666666E-3</v>
      </c>
      <c r="H55" s="75" t="s">
        <v>814</v>
      </c>
      <c r="I55" s="76">
        <f>SUM(I3:I54)/1200</f>
        <v>10.189166666666667</v>
      </c>
    </row>
  </sheetData>
  <sheetProtection algorithmName="SHA-512" hashValue="5yWKx1ADsUxWXbE/IebJpJVIiEP9KRpZII+qzumkheKpqOJqPW2fsC9JnSJUbBe/65vLoj7w+xZv5Uku2ceh3g==" saltValue="ip960K012vY0JkXx/amc2A==" spinCount="100000" sheet="1" objects="1" scenarios="1"/>
  <protectedRanges>
    <protectedRange sqref="C3:C54 F3:F54 I3:I54" name="Rango1"/>
  </protectedRanges>
  <mergeCells count="5">
    <mergeCell ref="E2:F2"/>
    <mergeCell ref="H2:I2"/>
    <mergeCell ref="K2:L2"/>
    <mergeCell ref="N2:O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606-A6CC-4A70-8B82-C44DFE1C2E91}">
  <sheetPr>
    <tabColor rgb="FFFFFF00"/>
  </sheetPr>
  <dimension ref="A1:E40"/>
  <sheetViews>
    <sheetView topLeftCell="A16" workbookViewId="0">
      <selection activeCell="E34" sqref="E34"/>
    </sheetView>
  </sheetViews>
  <sheetFormatPr baseColWidth="10" defaultColWidth="11.44140625" defaultRowHeight="14.4" x14ac:dyDescent="0.3"/>
  <cols>
    <col min="1" max="1" width="37.33203125" bestFit="1" customWidth="1"/>
    <col min="2" max="2" width="18.109375" bestFit="1" customWidth="1"/>
    <col min="4" max="4" width="3" bestFit="1" customWidth="1"/>
  </cols>
  <sheetData>
    <row r="1" spans="1:5" x14ac:dyDescent="0.3">
      <c r="A1" s="136" t="s">
        <v>572</v>
      </c>
      <c r="B1" s="137" t="s">
        <v>815</v>
      </c>
      <c r="D1" s="10">
        <v>13</v>
      </c>
      <c r="E1" s="10" t="s">
        <v>816</v>
      </c>
    </row>
    <row r="2" spans="1:5" x14ac:dyDescent="0.3">
      <c r="A2" s="1" t="s">
        <v>574</v>
      </c>
      <c r="B2" s="1" t="s">
        <v>816</v>
      </c>
    </row>
    <row r="3" spans="1:5" x14ac:dyDescent="0.3">
      <c r="A3" s="1" t="s">
        <v>579</v>
      </c>
      <c r="B3" s="1" t="s">
        <v>817</v>
      </c>
    </row>
    <row r="4" spans="1:5" x14ac:dyDescent="0.3">
      <c r="A4" s="1" t="s">
        <v>581</v>
      </c>
      <c r="B4" s="1" t="s">
        <v>816</v>
      </c>
    </row>
    <row r="5" spans="1:5" x14ac:dyDescent="0.3">
      <c r="A5" s="1" t="s">
        <v>583</v>
      </c>
      <c r="B5" s="1" t="s">
        <v>816</v>
      </c>
    </row>
    <row r="6" spans="1:5" x14ac:dyDescent="0.3">
      <c r="A6" s="1" t="s">
        <v>584</v>
      </c>
      <c r="B6" s="1" t="s">
        <v>817</v>
      </c>
    </row>
    <row r="7" spans="1:5" x14ac:dyDescent="0.3">
      <c r="A7" s="1" t="s">
        <v>818</v>
      </c>
      <c r="B7" s="1" t="s">
        <v>816</v>
      </c>
    </row>
    <row r="8" spans="1:5" x14ac:dyDescent="0.3">
      <c r="A8" s="1" t="s">
        <v>588</v>
      </c>
      <c r="B8" s="1" t="s">
        <v>819</v>
      </c>
    </row>
    <row r="9" spans="1:5" x14ac:dyDescent="0.3">
      <c r="A9" s="1" t="s">
        <v>590</v>
      </c>
      <c r="B9" s="1" t="s">
        <v>819</v>
      </c>
    </row>
    <row r="10" spans="1:5" x14ac:dyDescent="0.3">
      <c r="A10" s="1" t="s">
        <v>592</v>
      </c>
      <c r="B10" s="1" t="s">
        <v>819</v>
      </c>
    </row>
    <row r="11" spans="1:5" x14ac:dyDescent="0.3">
      <c r="A11" s="1" t="s">
        <v>771</v>
      </c>
      <c r="B11" s="1" t="s">
        <v>819</v>
      </c>
    </row>
    <row r="12" spans="1:5" x14ac:dyDescent="0.3">
      <c r="A12" s="1" t="s">
        <v>595</v>
      </c>
      <c r="B12" s="1" t="s">
        <v>816</v>
      </c>
    </row>
    <row r="13" spans="1:5" x14ac:dyDescent="0.3">
      <c r="A13" s="1" t="s">
        <v>597</v>
      </c>
      <c r="B13" s="1" t="s">
        <v>816</v>
      </c>
    </row>
    <row r="14" spans="1:5" x14ac:dyDescent="0.3">
      <c r="A14" s="1" t="s">
        <v>598</v>
      </c>
      <c r="B14" s="1" t="s">
        <v>816</v>
      </c>
    </row>
    <row r="15" spans="1:5" x14ac:dyDescent="0.3">
      <c r="A15" s="1" t="s">
        <v>599</v>
      </c>
      <c r="B15" s="1" t="s">
        <v>816</v>
      </c>
    </row>
    <row r="16" spans="1:5" x14ac:dyDescent="0.3">
      <c r="A16" s="1" t="s">
        <v>601</v>
      </c>
      <c r="B16" s="1" t="s">
        <v>816</v>
      </c>
    </row>
    <row r="17" spans="1:2" x14ac:dyDescent="0.3">
      <c r="A17" s="1" t="s">
        <v>607</v>
      </c>
      <c r="B17" s="1" t="s">
        <v>819</v>
      </c>
    </row>
    <row r="18" spans="1:2" x14ac:dyDescent="0.3">
      <c r="A18" s="1" t="s">
        <v>609</v>
      </c>
      <c r="B18" s="1" t="s">
        <v>819</v>
      </c>
    </row>
    <row r="19" spans="1:2" x14ac:dyDescent="0.3">
      <c r="A19" s="1" t="s">
        <v>611</v>
      </c>
      <c r="B19" s="1" t="s">
        <v>819</v>
      </c>
    </row>
    <row r="20" spans="1:2" x14ac:dyDescent="0.3">
      <c r="A20" s="1" t="s">
        <v>613</v>
      </c>
      <c r="B20" s="1" t="s">
        <v>819</v>
      </c>
    </row>
    <row r="21" spans="1:2" x14ac:dyDescent="0.3">
      <c r="A21" s="1" t="s">
        <v>615</v>
      </c>
      <c r="B21" s="1" t="s">
        <v>819</v>
      </c>
    </row>
    <row r="22" spans="1:2" x14ac:dyDescent="0.3">
      <c r="A22" s="1" t="s">
        <v>617</v>
      </c>
      <c r="B22" s="1" t="s">
        <v>819</v>
      </c>
    </row>
    <row r="23" spans="1:2" x14ac:dyDescent="0.3">
      <c r="A23" s="1" t="s">
        <v>618</v>
      </c>
      <c r="B23" s="1" t="s">
        <v>819</v>
      </c>
    </row>
    <row r="24" spans="1:2" x14ac:dyDescent="0.3">
      <c r="A24" s="1" t="s">
        <v>620</v>
      </c>
      <c r="B24" s="1" t="s">
        <v>819</v>
      </c>
    </row>
    <row r="25" spans="1:2" x14ac:dyDescent="0.3">
      <c r="A25" s="1" t="s">
        <v>622</v>
      </c>
      <c r="B25" s="1" t="s">
        <v>819</v>
      </c>
    </row>
    <row r="26" spans="1:2" x14ac:dyDescent="0.3">
      <c r="A26" s="1" t="s">
        <v>623</v>
      </c>
      <c r="B26" s="1" t="s">
        <v>819</v>
      </c>
    </row>
    <row r="27" spans="1:2" x14ac:dyDescent="0.3">
      <c r="A27" s="1" t="s">
        <v>625</v>
      </c>
      <c r="B27" s="1" t="s">
        <v>819</v>
      </c>
    </row>
    <row r="28" spans="1:2" x14ac:dyDescent="0.3">
      <c r="A28" s="1" t="s">
        <v>626</v>
      </c>
      <c r="B28" s="1" t="s">
        <v>819</v>
      </c>
    </row>
    <row r="29" spans="1:2" x14ac:dyDescent="0.3">
      <c r="A29" s="1" t="s">
        <v>628</v>
      </c>
      <c r="B29" s="1" t="s">
        <v>819</v>
      </c>
    </row>
    <row r="30" spans="1:2" x14ac:dyDescent="0.3">
      <c r="A30" s="1" t="s">
        <v>630</v>
      </c>
      <c r="B30" s="1" t="s">
        <v>816</v>
      </c>
    </row>
    <row r="31" spans="1:2" x14ac:dyDescent="0.3">
      <c r="A31" s="1" t="s">
        <v>631</v>
      </c>
      <c r="B31" s="1" t="s">
        <v>816</v>
      </c>
    </row>
    <row r="32" spans="1:2" x14ac:dyDescent="0.3">
      <c r="A32" s="1" t="s">
        <v>633</v>
      </c>
      <c r="B32" s="1" t="s">
        <v>816</v>
      </c>
    </row>
    <row r="33" spans="1:2" x14ac:dyDescent="0.3">
      <c r="A33" s="1" t="s">
        <v>635</v>
      </c>
      <c r="B33" s="1" t="s">
        <v>816</v>
      </c>
    </row>
    <row r="34" spans="1:2" x14ac:dyDescent="0.3">
      <c r="A34" s="1" t="s">
        <v>637</v>
      </c>
      <c r="B34" s="1" t="s">
        <v>817</v>
      </c>
    </row>
    <row r="35" spans="1:2" x14ac:dyDescent="0.3">
      <c r="A35" s="1" t="s">
        <v>639</v>
      </c>
      <c r="B35" s="1" t="s">
        <v>817</v>
      </c>
    </row>
    <row r="36" spans="1:2" x14ac:dyDescent="0.3">
      <c r="A36" s="1" t="s">
        <v>641</v>
      </c>
      <c r="B36" s="1" t="s">
        <v>817</v>
      </c>
    </row>
    <row r="37" spans="1:2" x14ac:dyDescent="0.3">
      <c r="A37" s="1" t="s">
        <v>643</v>
      </c>
      <c r="B37" s="1" t="s">
        <v>817</v>
      </c>
    </row>
    <row r="38" spans="1:2" x14ac:dyDescent="0.3">
      <c r="A38" s="1" t="s">
        <v>644</v>
      </c>
      <c r="B38" s="1" t="s">
        <v>817</v>
      </c>
    </row>
    <row r="39" spans="1:2" x14ac:dyDescent="0.3">
      <c r="A39" s="1" t="s">
        <v>571</v>
      </c>
      <c r="B39" s="1" t="s">
        <v>820</v>
      </c>
    </row>
    <row r="40" spans="1:2" x14ac:dyDescent="0.3">
      <c r="A40" s="1" t="s">
        <v>603</v>
      </c>
      <c r="B40" s="1" t="s">
        <v>819</v>
      </c>
    </row>
  </sheetData>
  <sheetProtection algorithmName="SHA-512" hashValue="htKAVUA2PFcPRSAXznoUz5yASp/oUClRyx/oUjuZmI55ZgL++ZUh9i25PwAdBliNufWHNuVQGShwchrzgZkcrQ==" saltValue="Fjidjq0pPwGTKi3xKjB33A==" spinCount="100000" sheet="1" objects="1" scenarios="1"/>
  <conditionalFormatting sqref="B1:B1048576">
    <cfRule type="cellIs" dxfId="2" priority="1" operator="equal">
      <formula>"Siempre"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7657-F470-47AC-BEF7-E33F552315D7}">
  <sheetPr>
    <tabColor theme="4"/>
    <pageSetUpPr fitToPage="1"/>
  </sheetPr>
  <dimension ref="A4:L1271"/>
  <sheetViews>
    <sheetView showGridLines="0" zoomScaleNormal="100" workbookViewId="0">
      <selection activeCell="A6" sqref="A6"/>
    </sheetView>
  </sheetViews>
  <sheetFormatPr baseColWidth="10" defaultColWidth="11.44140625" defaultRowHeight="14.4" x14ac:dyDescent="0.3"/>
  <cols>
    <col min="1" max="1" width="11.33203125" style="16" bestFit="1" customWidth="1"/>
    <col min="2" max="2" width="55.44140625" customWidth="1"/>
    <col min="3" max="3" width="11.109375" style="18" customWidth="1"/>
    <col min="4" max="4" width="9.5546875" style="18" bestFit="1" customWidth="1"/>
    <col min="5" max="5" width="12.33203125" customWidth="1"/>
    <col min="6" max="6" width="13.33203125" style="20" customWidth="1"/>
    <col min="7" max="7" width="21.88671875" hidden="1" customWidth="1"/>
    <col min="8" max="8" width="17.109375" hidden="1" customWidth="1"/>
    <col min="9" max="9" width="9.6640625" hidden="1" customWidth="1"/>
    <col min="10" max="10" width="8.33203125" hidden="1" customWidth="1"/>
    <col min="11" max="11" width="6.33203125" hidden="1" customWidth="1"/>
    <col min="12" max="12" width="12.33203125" hidden="1" customWidth="1"/>
    <col min="13" max="13" width="6.6640625" customWidth="1"/>
    <col min="17" max="17" width="15.33203125" customWidth="1"/>
  </cols>
  <sheetData>
    <row r="4" spans="1:6" x14ac:dyDescent="0.3">
      <c r="F4"/>
    </row>
    <row r="5" spans="1:6" ht="15" thickBot="1" x14ac:dyDescent="0.35">
      <c r="D5" s="161" t="s">
        <v>821</v>
      </c>
      <c r="E5" s="162"/>
      <c r="F5" s="163"/>
    </row>
    <row r="6" spans="1:6" ht="15" thickTop="1" x14ac:dyDescent="0.3">
      <c r="D6" s="160"/>
      <c r="E6" s="160"/>
      <c r="F6" s="21"/>
    </row>
    <row r="7" spans="1:6" ht="15" thickBot="1" x14ac:dyDescent="0.35">
      <c r="D7" s="159" t="s">
        <v>822</v>
      </c>
      <c r="E7" s="159"/>
      <c r="F7" s="127">
        <f>SUM(F12:F1048576)</f>
        <v>1243805</v>
      </c>
    </row>
    <row r="8" spans="1:6" ht="15" thickTop="1" x14ac:dyDescent="0.3"/>
    <row r="9" spans="1:6" ht="15.6" x14ac:dyDescent="0.3">
      <c r="A9" s="124" t="s">
        <v>1</v>
      </c>
      <c r="B9" s="125" t="s">
        <v>0</v>
      </c>
      <c r="C9" s="125" t="s">
        <v>2</v>
      </c>
      <c r="D9" s="125" t="s">
        <v>776</v>
      </c>
      <c r="E9" s="125" t="s">
        <v>823</v>
      </c>
      <c r="F9" s="126" t="s">
        <v>824</v>
      </c>
    </row>
    <row r="10" spans="1:6" hidden="1" x14ac:dyDescent="0.3">
      <c r="A10"/>
      <c r="C10"/>
      <c r="D10"/>
      <c r="F10"/>
    </row>
    <row r="11" spans="1:6" hidden="1" x14ac:dyDescent="0.3">
      <c r="A11"/>
      <c r="C11"/>
      <c r="D11"/>
      <c r="F11"/>
    </row>
    <row r="12" spans="1:6" x14ac:dyDescent="0.3">
      <c r="A12" s="26" t="s">
        <v>451</v>
      </c>
      <c r="B12" s="25" t="s">
        <v>454</v>
      </c>
      <c r="C12" s="117" t="s">
        <v>2</v>
      </c>
      <c r="D12" s="117">
        <v>8</v>
      </c>
      <c r="E12" s="114">
        <v>1000</v>
      </c>
      <c r="F12" s="111">
        <v>8000</v>
      </c>
    </row>
    <row r="13" spans="1:6" x14ac:dyDescent="0.3">
      <c r="A13" s="27"/>
      <c r="B13" s="23" t="s">
        <v>467</v>
      </c>
      <c r="C13" s="118" t="s">
        <v>2</v>
      </c>
      <c r="D13" s="118">
        <v>32</v>
      </c>
      <c r="E13" s="115">
        <v>1263</v>
      </c>
      <c r="F13" s="112">
        <v>40416</v>
      </c>
    </row>
    <row r="14" spans="1:6" x14ac:dyDescent="0.3">
      <c r="A14" s="27"/>
      <c r="B14" s="23" t="s">
        <v>468</v>
      </c>
      <c r="C14" s="118" t="s">
        <v>2</v>
      </c>
      <c r="D14" s="118">
        <v>1</v>
      </c>
      <c r="E14" s="115">
        <v>3300</v>
      </c>
      <c r="F14" s="112">
        <v>3300</v>
      </c>
    </row>
    <row r="15" spans="1:6" x14ac:dyDescent="0.3">
      <c r="A15" s="27"/>
      <c r="B15" s="23" t="s">
        <v>469</v>
      </c>
      <c r="C15" s="118" t="s">
        <v>2</v>
      </c>
      <c r="D15" s="118">
        <v>20</v>
      </c>
      <c r="E15" s="115">
        <v>1200</v>
      </c>
      <c r="F15" s="112">
        <v>24000</v>
      </c>
    </row>
    <row r="16" spans="1:6" x14ac:dyDescent="0.3">
      <c r="A16" s="27"/>
      <c r="B16" s="23" t="s">
        <v>474</v>
      </c>
      <c r="C16" s="118" t="s">
        <v>2</v>
      </c>
      <c r="D16" s="118">
        <v>1</v>
      </c>
      <c r="E16" s="115">
        <v>1100</v>
      </c>
      <c r="F16" s="112">
        <v>1100</v>
      </c>
    </row>
    <row r="17" spans="1:6" x14ac:dyDescent="0.3">
      <c r="A17" s="27"/>
      <c r="B17" s="23" t="s">
        <v>482</v>
      </c>
      <c r="C17" s="118" t="s">
        <v>2</v>
      </c>
      <c r="D17" s="118">
        <v>20</v>
      </c>
      <c r="E17" s="115">
        <v>2765</v>
      </c>
      <c r="F17" s="112">
        <v>55300</v>
      </c>
    </row>
    <row r="18" spans="1:6" x14ac:dyDescent="0.3">
      <c r="A18" s="27"/>
      <c r="B18" s="23" t="s">
        <v>490</v>
      </c>
      <c r="C18" s="118" t="s">
        <v>2</v>
      </c>
      <c r="D18" s="118">
        <v>1</v>
      </c>
      <c r="E18" s="115">
        <v>19400</v>
      </c>
      <c r="F18" s="112">
        <v>19400</v>
      </c>
    </row>
    <row r="19" spans="1:6" x14ac:dyDescent="0.3">
      <c r="A19" s="27"/>
      <c r="B19" s="23" t="s">
        <v>498</v>
      </c>
      <c r="C19" s="118" t="s">
        <v>2</v>
      </c>
      <c r="D19" s="118">
        <v>47</v>
      </c>
      <c r="E19" s="115">
        <v>8951</v>
      </c>
      <c r="F19" s="112">
        <v>420697</v>
      </c>
    </row>
    <row r="20" spans="1:6" x14ac:dyDescent="0.3">
      <c r="A20" s="27"/>
      <c r="B20" s="23" t="s">
        <v>499</v>
      </c>
      <c r="C20" s="118" t="s">
        <v>305</v>
      </c>
      <c r="D20" s="118">
        <v>1</v>
      </c>
      <c r="E20" s="115">
        <v>18000</v>
      </c>
      <c r="F20" s="112">
        <v>18000</v>
      </c>
    </row>
    <row r="21" spans="1:6" x14ac:dyDescent="0.3">
      <c r="A21" s="27"/>
      <c r="B21" s="23" t="s">
        <v>501</v>
      </c>
      <c r="C21" s="118" t="s">
        <v>2</v>
      </c>
      <c r="D21" s="118">
        <v>8</v>
      </c>
      <c r="E21" s="115">
        <v>11000</v>
      </c>
      <c r="F21" s="112">
        <v>88000</v>
      </c>
    </row>
    <row r="22" spans="1:6" x14ac:dyDescent="0.3">
      <c r="A22" s="27"/>
      <c r="B22" s="23" t="s">
        <v>530</v>
      </c>
      <c r="C22" s="118" t="s">
        <v>531</v>
      </c>
      <c r="D22" s="118">
        <v>1</v>
      </c>
      <c r="E22" s="115">
        <v>10500</v>
      </c>
      <c r="F22" s="112">
        <v>10500</v>
      </c>
    </row>
    <row r="23" spans="1:6" x14ac:dyDescent="0.3">
      <c r="A23" s="27"/>
      <c r="B23" s="23" t="s">
        <v>533</v>
      </c>
      <c r="C23" s="118" t="s">
        <v>2</v>
      </c>
      <c r="D23" s="118">
        <v>2</v>
      </c>
      <c r="E23" s="115">
        <v>5450</v>
      </c>
      <c r="F23" s="112">
        <v>10900</v>
      </c>
    </row>
    <row r="24" spans="1:6" x14ac:dyDescent="0.3">
      <c r="A24" s="27"/>
      <c r="B24" s="23" t="s">
        <v>534</v>
      </c>
      <c r="C24" s="118" t="s">
        <v>2</v>
      </c>
      <c r="D24" s="118">
        <v>6</v>
      </c>
      <c r="E24" s="115">
        <v>2690</v>
      </c>
      <c r="F24" s="112">
        <v>16140</v>
      </c>
    </row>
    <row r="25" spans="1:6" x14ac:dyDescent="0.3">
      <c r="A25" s="27"/>
      <c r="B25" s="23" t="s">
        <v>535</v>
      </c>
      <c r="C25" s="118" t="s">
        <v>2</v>
      </c>
      <c r="D25" s="118">
        <v>2</v>
      </c>
      <c r="E25" s="115">
        <v>3000</v>
      </c>
      <c r="F25" s="112">
        <v>6000</v>
      </c>
    </row>
    <row r="26" spans="1:6" x14ac:dyDescent="0.3">
      <c r="A26" s="27"/>
      <c r="B26" s="23" t="s">
        <v>542</v>
      </c>
      <c r="C26" s="118" t="s">
        <v>2</v>
      </c>
      <c r="D26" s="118">
        <v>1</v>
      </c>
      <c r="E26" s="115">
        <v>50000</v>
      </c>
      <c r="F26" s="112">
        <v>50000</v>
      </c>
    </row>
    <row r="27" spans="1:6" x14ac:dyDescent="0.3">
      <c r="A27" s="27"/>
      <c r="B27" s="23" t="s">
        <v>546</v>
      </c>
      <c r="C27" s="118" t="s">
        <v>2</v>
      </c>
      <c r="D27" s="118">
        <v>10</v>
      </c>
      <c r="E27" s="115">
        <v>5151</v>
      </c>
      <c r="F27" s="112">
        <v>51510</v>
      </c>
    </row>
    <row r="28" spans="1:6" x14ac:dyDescent="0.3">
      <c r="A28" s="27"/>
      <c r="B28" s="23" t="s">
        <v>547</v>
      </c>
      <c r="C28" s="118" t="s">
        <v>2</v>
      </c>
      <c r="D28" s="118">
        <v>30</v>
      </c>
      <c r="E28" s="115">
        <v>5151</v>
      </c>
      <c r="F28" s="112">
        <v>154530</v>
      </c>
    </row>
    <row r="29" spans="1:6" x14ac:dyDescent="0.3">
      <c r="A29" s="27"/>
      <c r="B29" s="23" t="s">
        <v>551</v>
      </c>
      <c r="C29" s="118" t="s">
        <v>2</v>
      </c>
      <c r="D29" s="118">
        <v>7</v>
      </c>
      <c r="E29" s="115">
        <v>11336</v>
      </c>
      <c r="F29" s="112">
        <v>79352</v>
      </c>
    </row>
    <row r="30" spans="1:6" x14ac:dyDescent="0.3">
      <c r="A30" s="28"/>
      <c r="B30" s="24" t="s">
        <v>553</v>
      </c>
      <c r="C30" s="119" t="s">
        <v>2</v>
      </c>
      <c r="D30" s="119">
        <v>30</v>
      </c>
      <c r="E30" s="116">
        <v>6222</v>
      </c>
      <c r="F30" s="113">
        <v>186660</v>
      </c>
    </row>
    <row r="31" spans="1:6" x14ac:dyDescent="0.3">
      <c r="A31"/>
      <c r="C31"/>
      <c r="D31"/>
      <c r="F31"/>
    </row>
    <row r="32" spans="1:6" x14ac:dyDescent="0.3">
      <c r="A32"/>
      <c r="C32"/>
      <c r="D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spans="1:6" x14ac:dyDescent="0.3">
      <c r="A481"/>
      <c r="C481"/>
      <c r="D481"/>
      <c r="F481"/>
    </row>
    <row r="482" spans="1:6" x14ac:dyDescent="0.3">
      <c r="A482"/>
      <c r="C482"/>
      <c r="D482"/>
      <c r="F482"/>
    </row>
    <row r="483" spans="1:6" x14ac:dyDescent="0.3">
      <c r="A483"/>
      <c r="C483"/>
      <c r="D483"/>
      <c r="F483"/>
    </row>
    <row r="484" spans="1:6" x14ac:dyDescent="0.3">
      <c r="A484"/>
      <c r="C484"/>
      <c r="D484"/>
      <c r="F484"/>
    </row>
    <row r="485" spans="1:6" x14ac:dyDescent="0.3">
      <c r="A485"/>
      <c r="C485"/>
      <c r="D485"/>
      <c r="F485"/>
    </row>
    <row r="486" spans="1:6" x14ac:dyDescent="0.3">
      <c r="A486"/>
      <c r="C486"/>
      <c r="D486"/>
      <c r="F486"/>
    </row>
    <row r="487" spans="1:6" x14ac:dyDescent="0.3">
      <c r="A487"/>
      <c r="C487"/>
      <c r="D487"/>
      <c r="F487"/>
    </row>
    <row r="488" spans="1:6" x14ac:dyDescent="0.3">
      <c r="A488"/>
      <c r="C488"/>
      <c r="D488"/>
      <c r="F488"/>
    </row>
    <row r="489" spans="1:6" x14ac:dyDescent="0.3">
      <c r="A489"/>
    </row>
    <row r="490" spans="1:6" x14ac:dyDescent="0.3">
      <c r="A490"/>
    </row>
    <row r="491" spans="1:6" x14ac:dyDescent="0.3">
      <c r="A491"/>
    </row>
    <row r="492" spans="1:6" x14ac:dyDescent="0.3">
      <c r="A492"/>
    </row>
    <row r="493" spans="1:6" x14ac:dyDescent="0.3">
      <c r="A493"/>
    </row>
    <row r="494" spans="1:6" x14ac:dyDescent="0.3">
      <c r="A494"/>
    </row>
    <row r="495" spans="1:6" x14ac:dyDescent="0.3">
      <c r="A495"/>
    </row>
    <row r="496" spans="1:6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</sheetData>
  <sheetProtection algorithmName="SHA-512" hashValue="65k8J0dUtU6VfSAfPiuxmATtvlkXizQTtB5tus7hfNMy/LCWJfb37qd34SO4dkXMUOup/rhYbvgY9zdrih/xQA==" saltValue="S1by4quJShu9JRVW35xrUw==" spinCount="100000" sheet="1" pivotTables="0"/>
  <mergeCells count="3">
    <mergeCell ref="D7:E7"/>
    <mergeCell ref="D6:E6"/>
    <mergeCell ref="D5:F5"/>
  </mergeCells>
  <pageMargins left="0.7" right="0.7" top="0.75" bottom="0.75" header="0.3" footer="0.3"/>
  <pageSetup paperSize="9" scale="42" fitToWidth="0" orientation="portrait" r:id="rId2"/>
  <headerFooter>
    <oddFooter>&amp;Chttps://containerhouses.cl/
info@containerhouses.cl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781-CD31-498A-98A5-65A82FA2461A}">
  <sheetPr>
    <tabColor theme="4"/>
  </sheetPr>
  <dimension ref="A5:C155"/>
  <sheetViews>
    <sheetView showGridLines="0" topLeftCell="A11" workbookViewId="0">
      <selection activeCell="B21" sqref="B21"/>
    </sheetView>
  </sheetViews>
  <sheetFormatPr baseColWidth="10" defaultColWidth="11.44140625" defaultRowHeight="14.4" x14ac:dyDescent="0.3"/>
  <cols>
    <col min="1" max="1" width="11.33203125" customWidth="1"/>
    <col min="2" max="2" width="100.6640625" bestFit="1" customWidth="1"/>
    <col min="3" max="3" width="29" bestFit="1" customWidth="1"/>
  </cols>
  <sheetData>
    <row r="5" spans="1:3" x14ac:dyDescent="0.3">
      <c r="A5" t="s">
        <v>825</v>
      </c>
    </row>
    <row r="6" spans="1:3" x14ac:dyDescent="0.3">
      <c r="A6" t="s">
        <v>826</v>
      </c>
    </row>
    <row r="9" spans="1:3" x14ac:dyDescent="0.3">
      <c r="A9" s="128" t="s">
        <v>827</v>
      </c>
      <c r="B9" s="129"/>
      <c r="C9" s="130" t="s">
        <v>828</v>
      </c>
    </row>
    <row r="11" spans="1:3" ht="15.6" x14ac:dyDescent="0.3">
      <c r="A11" s="89" t="s">
        <v>1</v>
      </c>
      <c r="B11" s="89" t="s">
        <v>0</v>
      </c>
      <c r="C11" s="89" t="s">
        <v>776</v>
      </c>
    </row>
    <row r="12" spans="1:3" x14ac:dyDescent="0.3">
      <c r="A12" s="35" t="str">
        <f>IFERROR(VLOOKUP(B12,'BD Total'!$A$1:$B$506,2,0),"")</f>
        <v>Tabiquería</v>
      </c>
      <c r="B12" s="1" t="str">
        <f>'1 - Modelo'!B12</f>
        <v>Canal Cielo 20X 25  0,4mm x 3m</v>
      </c>
      <c r="C12" s="13">
        <f>'1 - Modelo'!D12</f>
        <v>8</v>
      </c>
    </row>
    <row r="13" spans="1:3" x14ac:dyDescent="0.3">
      <c r="A13" s="35" t="str">
        <f>IFERROR(VLOOKUP(B13,'BD Total'!$A$1:$B$506,2,0),"")</f>
        <v>Tabiquería</v>
      </c>
      <c r="B13" s="1" t="str">
        <f>'1 - Modelo'!B13</f>
        <v>Cielo Portante 40X18X10X0,5Mm 3Mts</v>
      </c>
      <c r="C13" s="13">
        <f>'1 - Modelo'!D13</f>
        <v>32</v>
      </c>
    </row>
    <row r="14" spans="1:3" x14ac:dyDescent="0.3">
      <c r="A14" s="35" t="str">
        <f>IFERROR(VLOOKUP(B14,'BD Total'!$A$1:$B$506,2,0),"")</f>
        <v>Tabiquería</v>
      </c>
      <c r="B14" s="1" t="str">
        <f>'1 - Modelo'!B14</f>
        <v>Cinta malla para yeso</v>
      </c>
      <c r="C14" s="13">
        <f>'1 - Modelo'!D14</f>
        <v>1</v>
      </c>
    </row>
    <row r="15" spans="1:3" x14ac:dyDescent="0.3">
      <c r="A15" s="35" t="str">
        <f>IFERROR(VLOOKUP(B15,'BD Total'!$A$1:$B$506,2,0),"")</f>
        <v>Tabiquería</v>
      </c>
      <c r="B15" s="1" t="str">
        <f>'1 - Modelo'!B15</f>
        <v>Cornisas</v>
      </c>
      <c r="C15" s="13">
        <f>'1 - Modelo'!D15</f>
        <v>20</v>
      </c>
    </row>
    <row r="16" spans="1:3" x14ac:dyDescent="0.3">
      <c r="A16" s="35" t="str">
        <f>IFERROR(VLOOKUP(B16,'BD Total'!$A$1:$B$506,2,0),"")</f>
        <v>Tabiquería</v>
      </c>
      <c r="B16" s="1" t="str">
        <f>'1 - Modelo'!B16</f>
        <v>Esquinero metalcom 30x30x 0,4mm 240</v>
      </c>
      <c r="C16" s="13">
        <f>'1 - Modelo'!D16</f>
        <v>1</v>
      </c>
    </row>
    <row r="17" spans="1:3" x14ac:dyDescent="0.3">
      <c r="A17" s="35" t="str">
        <f>IFERROR(VLOOKUP(B17,'BD Total'!$A$1:$B$506,2,0),"")</f>
        <v>Tabiquería</v>
      </c>
      <c r="B17" s="1" t="str">
        <f>'1 - Modelo'!B17</f>
        <v>Guardapolvos</v>
      </c>
      <c r="C17" s="13">
        <f>'1 - Modelo'!D17</f>
        <v>20</v>
      </c>
    </row>
    <row r="18" spans="1:3" x14ac:dyDescent="0.3">
      <c r="A18" s="35" t="str">
        <f>IFERROR(VLOOKUP(B18,'BD Total'!$A$1:$B$506,2,0),"")</f>
        <v>Tabiquería</v>
      </c>
      <c r="B18" s="1" t="str">
        <f>'1 - Modelo'!B18</f>
        <v>Masilla Base 25kg</v>
      </c>
      <c r="C18" s="13">
        <f>'1 - Modelo'!D18</f>
        <v>1</v>
      </c>
    </row>
    <row r="19" spans="1:3" x14ac:dyDescent="0.3">
      <c r="A19" s="35" t="str">
        <f>IFERROR(VLOOKUP(B19,'BD Total'!$A$1:$B$506,2,0),"")</f>
        <v>Tabiquería</v>
      </c>
      <c r="B19" s="1" t="str">
        <f>'1 - Modelo'!B19</f>
        <v>Osb Perimetral 9X1200X2440Mm</v>
      </c>
      <c r="C19" s="13">
        <f>'1 - Modelo'!D19</f>
        <v>47</v>
      </c>
    </row>
    <row r="20" spans="1:3" x14ac:dyDescent="0.3">
      <c r="A20" s="35" t="str">
        <f>IFERROR(VLOOKUP(B20,'BD Total'!$A$1:$B$506,2,0),"")</f>
        <v>Tabiquería</v>
      </c>
      <c r="B20" s="1" t="str">
        <f>'1 - Modelo'!B20</f>
        <v>Pasta De Muro</v>
      </c>
      <c r="C20" s="13">
        <f>'1 - Modelo'!D20</f>
        <v>1</v>
      </c>
    </row>
    <row r="21" spans="1:3" x14ac:dyDescent="0.3">
      <c r="A21" s="35" t="str">
        <f>IFERROR(VLOOKUP(B21,'BD Total'!$A$1:$B$506,2,0),"")</f>
        <v>Tabiquería</v>
      </c>
      <c r="B21" s="1" t="str">
        <f>'1 - Modelo'!B21</f>
        <v>Perfil 30 x 30 2mm 6 metros</v>
      </c>
      <c r="C21" s="13">
        <f>'1 - Modelo'!D21</f>
        <v>8</v>
      </c>
    </row>
    <row r="22" spans="1:3" x14ac:dyDescent="0.3">
      <c r="A22" s="35" t="str">
        <f>IFERROR(VLOOKUP(B22,'BD Total'!$A$1:$B$506,2,0),"")</f>
        <v>Tabiquería</v>
      </c>
      <c r="B22" s="1" t="str">
        <f>'1 - Modelo'!B22</f>
        <v>Rollo Mig de 15kilo</v>
      </c>
      <c r="C22" s="13">
        <f>'1 - Modelo'!D22</f>
        <v>1</v>
      </c>
    </row>
    <row r="23" spans="1:3" x14ac:dyDescent="0.3">
      <c r="A23" s="35" t="str">
        <f>IFERROR(VLOOKUP(B23,'BD Total'!$A$1:$B$506,2,0),"")</f>
        <v>Tabiquería</v>
      </c>
      <c r="B23" s="1" t="str">
        <f>'1 - Modelo'!B23</f>
        <v>Sello Poliuretano Pate</v>
      </c>
      <c r="C23" s="13">
        <f>'1 - Modelo'!D23</f>
        <v>2</v>
      </c>
    </row>
    <row r="24" spans="1:3" x14ac:dyDescent="0.3">
      <c r="A24" s="35" t="str">
        <f>IFERROR(VLOOKUP(B24,'BD Total'!$A$1:$B$506,2,0),"")</f>
        <v>Tabiquería</v>
      </c>
      <c r="B24" s="1" t="str">
        <f>'1 - Modelo'!B24</f>
        <v>Silicona Acrilica</v>
      </c>
      <c r="C24" s="13">
        <f>'1 - Modelo'!D24</f>
        <v>6</v>
      </c>
    </row>
    <row r="25" spans="1:3" x14ac:dyDescent="0.3">
      <c r="A25" s="35" t="str">
        <f>IFERROR(VLOOKUP(B25,'BD Total'!$A$1:$B$506,2,0),"")</f>
        <v>Tabiquería</v>
      </c>
      <c r="B25" s="1" t="str">
        <f>'1 - Modelo'!B25</f>
        <v>Silicona Para Montaje</v>
      </c>
      <c r="C25" s="13">
        <f>'1 - Modelo'!D25</f>
        <v>2</v>
      </c>
    </row>
    <row r="26" spans="1:3" x14ac:dyDescent="0.3">
      <c r="A26" s="35" t="str">
        <f>IFERROR(VLOOKUP(B26,'BD Total'!$A$1:$B$506,2,0),"")</f>
        <v>Tabiquería</v>
      </c>
      <c r="B26" s="1" t="str">
        <f>'1 - Modelo'!B26</f>
        <v>Tornillos General</v>
      </c>
      <c r="C26" s="13">
        <f>'1 - Modelo'!D26</f>
        <v>1</v>
      </c>
    </row>
    <row r="27" spans="1:3" x14ac:dyDescent="0.3">
      <c r="A27" s="35" t="str">
        <f>IFERROR(VLOOKUP(B27,'BD Total'!$A$1:$B$506,2,0),"")</f>
        <v>Tabiquería</v>
      </c>
      <c r="B27" s="1" t="str">
        <f>'1 - Modelo'!B27</f>
        <v xml:space="preserve">Volcanita Cielo  10 Mm </v>
      </c>
      <c r="C27" s="13">
        <f>'1 - Modelo'!D27</f>
        <v>10</v>
      </c>
    </row>
    <row r="28" spans="1:3" x14ac:dyDescent="0.3">
      <c r="A28" s="35" t="str">
        <f>IFERROR(VLOOKUP(B28,'BD Total'!$A$1:$B$506,2,0),"")</f>
        <v>Tabiquería</v>
      </c>
      <c r="B28" s="1" t="str">
        <f>'1 - Modelo'!B28</f>
        <v>Volcanita Lisa 10 mm</v>
      </c>
      <c r="C28" s="13">
        <f>'1 - Modelo'!D28</f>
        <v>30</v>
      </c>
    </row>
    <row r="29" spans="1:3" x14ac:dyDescent="0.3">
      <c r="A29" s="35" t="str">
        <f>IFERROR(VLOOKUP(B29,'BD Total'!$A$1:$B$506,2,0),"")</f>
        <v>Tabiquería</v>
      </c>
      <c r="B29" s="1" t="str">
        <f>'1 - Modelo'!B29</f>
        <v xml:space="preserve">Volcanita Rh 12,5 </v>
      </c>
      <c r="C29" s="13">
        <f>'1 - Modelo'!D29</f>
        <v>7</v>
      </c>
    </row>
    <row r="30" spans="1:3" x14ac:dyDescent="0.3">
      <c r="A30" s="35" t="str">
        <f>IFERROR(VLOOKUP(B30,'BD Total'!$A$1:$B$506,2,0),"")</f>
        <v>Tabiquería</v>
      </c>
      <c r="B30" s="1" t="str">
        <f>'1 - Modelo'!B30</f>
        <v>Vulcometal Estructura Muros 60 X 38 0,85 6 Mts</v>
      </c>
      <c r="C30" s="13">
        <f>'1 - Modelo'!D30</f>
        <v>30</v>
      </c>
    </row>
    <row r="31" spans="1:3" x14ac:dyDescent="0.3">
      <c r="A31" s="35" t="str">
        <f>IFERROR(VLOOKUP(B31,'BD Total'!$A$1:$B$506,2,0),"")</f>
        <v/>
      </c>
      <c r="B31" s="1">
        <f>'1 - Modelo'!B31</f>
        <v>0</v>
      </c>
      <c r="C31" s="13">
        <f>'1 - Modelo'!D31</f>
        <v>0</v>
      </c>
    </row>
    <row r="32" spans="1:3" x14ac:dyDescent="0.3">
      <c r="A32" s="35" t="str">
        <f>IFERROR(VLOOKUP(B32,'BD Total'!$A$1:$B$506,2,0),"")</f>
        <v/>
      </c>
      <c r="B32" s="1">
        <f>'1 - Modelo'!B32</f>
        <v>0</v>
      </c>
      <c r="C32" s="13">
        <f>'1 - Modelo'!D32</f>
        <v>0</v>
      </c>
    </row>
    <row r="33" spans="1:3" x14ac:dyDescent="0.3">
      <c r="A33" s="35" t="str">
        <f>IFERROR(VLOOKUP(B33,'BD Total'!$A$1:$B$506,2,0),"")</f>
        <v/>
      </c>
      <c r="B33" s="1">
        <f>'1 - Modelo'!B33</f>
        <v>0</v>
      </c>
      <c r="C33" s="13">
        <f>'1 - Modelo'!D33</f>
        <v>0</v>
      </c>
    </row>
    <row r="34" spans="1:3" x14ac:dyDescent="0.3">
      <c r="A34" s="35" t="str">
        <f>IFERROR(VLOOKUP(B34,'BD Total'!$A$1:$B$506,2,0),"")</f>
        <v/>
      </c>
      <c r="B34" s="1">
        <f>'1 - Modelo'!B34</f>
        <v>0</v>
      </c>
      <c r="C34" s="13">
        <f>'1 - Modelo'!D34</f>
        <v>0</v>
      </c>
    </row>
    <row r="35" spans="1:3" x14ac:dyDescent="0.3">
      <c r="A35" s="35" t="str">
        <f>IFERROR(VLOOKUP(B35,'BD Total'!$A$1:$B$506,2,0),"")</f>
        <v/>
      </c>
      <c r="B35" s="1">
        <f>'1 - Modelo'!B35</f>
        <v>0</v>
      </c>
      <c r="C35" s="13">
        <f>'1 - Modelo'!D35</f>
        <v>0</v>
      </c>
    </row>
    <row r="36" spans="1:3" x14ac:dyDescent="0.3">
      <c r="A36" s="35" t="str">
        <f>IFERROR(VLOOKUP(B36,'BD Total'!$A$1:$B$506,2,0),"")</f>
        <v/>
      </c>
      <c r="B36" s="1">
        <f>'1 - Modelo'!B36</f>
        <v>0</v>
      </c>
      <c r="C36" s="13">
        <f>'1 - Modelo'!D36</f>
        <v>0</v>
      </c>
    </row>
    <row r="37" spans="1:3" x14ac:dyDescent="0.3">
      <c r="A37" s="35" t="str">
        <f>IFERROR(VLOOKUP(B37,'BD Total'!$A$1:$B$506,2,0),"")</f>
        <v/>
      </c>
      <c r="B37" s="1">
        <f>'1 - Modelo'!B37</f>
        <v>0</v>
      </c>
      <c r="C37" s="13">
        <f>'1 - Modelo'!D37</f>
        <v>0</v>
      </c>
    </row>
    <row r="38" spans="1:3" x14ac:dyDescent="0.3">
      <c r="A38" s="35" t="str">
        <f>IFERROR(VLOOKUP(B38,'BD Total'!$A$1:$B$506,2,0),"")</f>
        <v/>
      </c>
      <c r="B38" s="1">
        <f>'1 - Modelo'!B38</f>
        <v>0</v>
      </c>
      <c r="C38" s="13">
        <f>'1 - Modelo'!D38</f>
        <v>0</v>
      </c>
    </row>
    <row r="39" spans="1:3" x14ac:dyDescent="0.3">
      <c r="A39" s="35" t="str">
        <f>IFERROR(VLOOKUP(B39,'BD Total'!$A$1:$B$506,2,0),"")</f>
        <v/>
      </c>
      <c r="B39" s="1">
        <f>'1 - Modelo'!B39</f>
        <v>0</v>
      </c>
      <c r="C39" s="13">
        <f>'1 - Modelo'!D39</f>
        <v>0</v>
      </c>
    </row>
    <row r="40" spans="1:3" x14ac:dyDescent="0.3">
      <c r="A40" s="35" t="str">
        <f>IFERROR(VLOOKUP(B40,'BD Total'!$A$1:$B$506,2,0),"")</f>
        <v/>
      </c>
      <c r="B40" s="1">
        <f>'1 - Modelo'!B40</f>
        <v>0</v>
      </c>
      <c r="C40" s="13">
        <f>'1 - Modelo'!D40</f>
        <v>0</v>
      </c>
    </row>
    <row r="41" spans="1:3" x14ac:dyDescent="0.3">
      <c r="A41" s="35" t="str">
        <f>IFERROR(VLOOKUP(B41,'BD Total'!$A$1:$B$506,2,0),"")</f>
        <v/>
      </c>
      <c r="B41" s="1">
        <f>'1 - Modelo'!B41</f>
        <v>0</v>
      </c>
      <c r="C41" s="13">
        <f>'1 - Modelo'!D41</f>
        <v>0</v>
      </c>
    </row>
    <row r="42" spans="1:3" x14ac:dyDescent="0.3">
      <c r="A42" s="35" t="str">
        <f>IFERROR(VLOOKUP(B42,'BD Total'!$A$1:$B$506,2,0),"")</f>
        <v/>
      </c>
      <c r="B42" s="1">
        <f>'1 - Modelo'!B42</f>
        <v>0</v>
      </c>
      <c r="C42" s="13">
        <f>'1 - Modelo'!D42</f>
        <v>0</v>
      </c>
    </row>
    <row r="43" spans="1:3" x14ac:dyDescent="0.3">
      <c r="A43" s="35" t="str">
        <f>IFERROR(VLOOKUP(B43,'BD Total'!$A$1:$B$506,2,0),"")</f>
        <v/>
      </c>
      <c r="B43" s="1">
        <f>'1 - Modelo'!B43</f>
        <v>0</v>
      </c>
      <c r="C43" s="13">
        <f>'1 - Modelo'!D43</f>
        <v>0</v>
      </c>
    </row>
    <row r="44" spans="1:3" x14ac:dyDescent="0.3">
      <c r="A44" s="35" t="str">
        <f>IFERROR(VLOOKUP(B44,'BD Total'!$A$1:$B$506,2,0),"")</f>
        <v/>
      </c>
      <c r="B44" s="1">
        <f>'1 - Modelo'!B44</f>
        <v>0</v>
      </c>
      <c r="C44" s="13">
        <f>'1 - Modelo'!D44</f>
        <v>0</v>
      </c>
    </row>
    <row r="45" spans="1:3" x14ac:dyDescent="0.3">
      <c r="A45" s="35" t="str">
        <f>IFERROR(VLOOKUP(B45,'BD Total'!$A$1:$B$506,2,0),"")</f>
        <v/>
      </c>
      <c r="B45" s="1">
        <f>'1 - Modelo'!B45</f>
        <v>0</v>
      </c>
      <c r="C45" s="13">
        <f>'1 - Modelo'!D45</f>
        <v>0</v>
      </c>
    </row>
    <row r="46" spans="1:3" x14ac:dyDescent="0.3">
      <c r="A46" s="35" t="str">
        <f>IFERROR(VLOOKUP(B46,'BD Total'!$A$1:$B$506,2,0),"")</f>
        <v/>
      </c>
      <c r="B46" s="1">
        <f>'1 - Modelo'!B46</f>
        <v>0</v>
      </c>
      <c r="C46" s="13">
        <f>'1 - Modelo'!D46</f>
        <v>0</v>
      </c>
    </row>
    <row r="47" spans="1:3" x14ac:dyDescent="0.3">
      <c r="A47" s="35" t="str">
        <f>IFERROR(VLOOKUP(B47,'BD Total'!$A$1:$B$506,2,0),"")</f>
        <v/>
      </c>
      <c r="B47" s="1">
        <f>'1 - Modelo'!B47</f>
        <v>0</v>
      </c>
      <c r="C47" s="13">
        <f>'1 - Modelo'!D47</f>
        <v>0</v>
      </c>
    </row>
    <row r="48" spans="1:3" x14ac:dyDescent="0.3">
      <c r="A48" s="35" t="str">
        <f>IFERROR(VLOOKUP(B48,'BD Total'!$A$1:$B$506,2,0),"")</f>
        <v/>
      </c>
      <c r="B48" s="1">
        <f>'1 - Modelo'!B48</f>
        <v>0</v>
      </c>
      <c r="C48" s="13">
        <f>'1 - Modelo'!D48</f>
        <v>0</v>
      </c>
    </row>
    <row r="49" spans="1:3" x14ac:dyDescent="0.3">
      <c r="A49" s="35" t="str">
        <f>IFERROR(VLOOKUP(B49,'BD Total'!$A$1:$B$506,2,0),"")</f>
        <v/>
      </c>
      <c r="B49" s="1">
        <f>'1 - Modelo'!B49</f>
        <v>0</v>
      </c>
      <c r="C49" s="13">
        <f>'1 - Modelo'!D49</f>
        <v>0</v>
      </c>
    </row>
    <row r="50" spans="1:3" x14ac:dyDescent="0.3">
      <c r="A50" s="35" t="str">
        <f>IFERROR(VLOOKUP(B50,'BD Total'!$A$1:$B$506,2,0),"")</f>
        <v/>
      </c>
      <c r="B50" s="1">
        <f>'1 - Modelo'!B50</f>
        <v>0</v>
      </c>
      <c r="C50" s="13">
        <f>'1 - Modelo'!D50</f>
        <v>0</v>
      </c>
    </row>
    <row r="51" spans="1:3" x14ac:dyDescent="0.3">
      <c r="A51" s="35" t="str">
        <f>IFERROR(VLOOKUP(B51,'BD Total'!$A$1:$B$506,2,0),"")</f>
        <v/>
      </c>
      <c r="B51" s="1">
        <f>'1 - Modelo'!B51</f>
        <v>0</v>
      </c>
      <c r="C51" s="13">
        <f>'1 - Modelo'!D51</f>
        <v>0</v>
      </c>
    </row>
    <row r="52" spans="1:3" x14ac:dyDescent="0.3">
      <c r="A52" s="35" t="str">
        <f>IFERROR(VLOOKUP(B52,'BD Total'!$A$1:$B$506,2,0),"")</f>
        <v/>
      </c>
      <c r="B52" s="1">
        <f>'1 - Modelo'!B52</f>
        <v>0</v>
      </c>
      <c r="C52" s="13">
        <f>'1 - Modelo'!D52</f>
        <v>0</v>
      </c>
    </row>
    <row r="53" spans="1:3" x14ac:dyDescent="0.3">
      <c r="A53" s="35" t="str">
        <f>IFERROR(VLOOKUP(B53,'BD Total'!$A$1:$B$506,2,0),"")</f>
        <v/>
      </c>
      <c r="B53" s="1">
        <f>'1 - Modelo'!B53</f>
        <v>0</v>
      </c>
      <c r="C53" s="13">
        <f>'1 - Modelo'!D53</f>
        <v>0</v>
      </c>
    </row>
    <row r="54" spans="1:3" x14ac:dyDescent="0.3">
      <c r="A54" s="35" t="str">
        <f>IFERROR(VLOOKUP(B54,'BD Total'!$A$1:$B$506,2,0),"")</f>
        <v/>
      </c>
      <c r="B54" s="1">
        <f>'1 - Modelo'!B54</f>
        <v>0</v>
      </c>
      <c r="C54" s="13">
        <f>'1 - Modelo'!D54</f>
        <v>0</v>
      </c>
    </row>
    <row r="55" spans="1:3" x14ac:dyDescent="0.3">
      <c r="A55" s="35" t="str">
        <f>IFERROR(VLOOKUP(B55,'BD Total'!$A$1:$B$506,2,0),"")</f>
        <v/>
      </c>
      <c r="B55" s="1">
        <f>'1 - Modelo'!B55</f>
        <v>0</v>
      </c>
      <c r="C55" s="13">
        <f>'1 - Modelo'!D55</f>
        <v>0</v>
      </c>
    </row>
    <row r="56" spans="1:3" x14ac:dyDescent="0.3">
      <c r="A56" s="35" t="str">
        <f>IFERROR(VLOOKUP(B56,'BD Total'!$A$1:$B$506,2,0),"")</f>
        <v/>
      </c>
      <c r="B56" s="1">
        <f>'1 - Modelo'!B56</f>
        <v>0</v>
      </c>
      <c r="C56" s="13">
        <f>'1 - Modelo'!D56</f>
        <v>0</v>
      </c>
    </row>
    <row r="57" spans="1:3" x14ac:dyDescent="0.3">
      <c r="A57" s="35" t="str">
        <f>IFERROR(VLOOKUP(B57,'BD Total'!$A$1:$B$506,2,0),"")</f>
        <v/>
      </c>
      <c r="B57" s="1">
        <f>'1 - Modelo'!B57</f>
        <v>0</v>
      </c>
      <c r="C57" s="13">
        <f>'1 - Modelo'!D57</f>
        <v>0</v>
      </c>
    </row>
    <row r="58" spans="1:3" x14ac:dyDescent="0.3">
      <c r="A58" s="35" t="str">
        <f>IFERROR(VLOOKUP(B58,'BD Total'!$A$1:$B$506,2,0),"")</f>
        <v/>
      </c>
      <c r="B58" s="1">
        <f>'1 - Modelo'!B58</f>
        <v>0</v>
      </c>
      <c r="C58" s="13">
        <f>'1 - Modelo'!D58</f>
        <v>0</v>
      </c>
    </row>
    <row r="59" spans="1:3" x14ac:dyDescent="0.3">
      <c r="A59" s="35" t="str">
        <f>IFERROR(VLOOKUP(B59,'BD Total'!$A$1:$B$506,2,0),"")</f>
        <v/>
      </c>
      <c r="B59" s="1">
        <f>'1 - Modelo'!B59</f>
        <v>0</v>
      </c>
      <c r="C59" s="13">
        <f>'1 - Modelo'!D59</f>
        <v>0</v>
      </c>
    </row>
    <row r="60" spans="1:3" x14ac:dyDescent="0.3">
      <c r="A60" s="35" t="str">
        <f>IFERROR(VLOOKUP(B60,'BD Total'!$A$1:$B$506,2,0),"")</f>
        <v/>
      </c>
      <c r="B60" s="1">
        <f>'1 - Modelo'!B60</f>
        <v>0</v>
      </c>
      <c r="C60" s="13">
        <f>'1 - Modelo'!D60</f>
        <v>0</v>
      </c>
    </row>
    <row r="61" spans="1:3" x14ac:dyDescent="0.3">
      <c r="A61" s="35" t="str">
        <f>IFERROR(VLOOKUP(B61,'BD Total'!$A$1:$B$506,2,0),"")</f>
        <v/>
      </c>
      <c r="B61" s="1">
        <f>'1 - Modelo'!B61</f>
        <v>0</v>
      </c>
      <c r="C61" s="13">
        <f>'1 - Modelo'!D61</f>
        <v>0</v>
      </c>
    </row>
    <row r="62" spans="1:3" x14ac:dyDescent="0.3">
      <c r="A62" s="35" t="str">
        <f>IFERROR(VLOOKUP(B62,'BD Total'!$A$1:$B$506,2,0),"")</f>
        <v/>
      </c>
      <c r="B62" s="1">
        <f>'1 - Modelo'!B62</f>
        <v>0</v>
      </c>
      <c r="C62" s="13">
        <f>'1 - Modelo'!D62</f>
        <v>0</v>
      </c>
    </row>
    <row r="63" spans="1:3" x14ac:dyDescent="0.3">
      <c r="A63" s="35" t="str">
        <f>IFERROR(VLOOKUP(B63,'BD Total'!$A$1:$B$506,2,0),"")</f>
        <v/>
      </c>
      <c r="B63" s="1">
        <f>'1 - Modelo'!B63</f>
        <v>0</v>
      </c>
      <c r="C63" s="13">
        <f>'1 - Modelo'!D63</f>
        <v>0</v>
      </c>
    </row>
    <row r="64" spans="1:3" x14ac:dyDescent="0.3">
      <c r="A64" s="35" t="str">
        <f>IFERROR(VLOOKUP(B64,'BD Total'!$A$1:$B$506,2,0),"")</f>
        <v/>
      </c>
      <c r="B64" s="1">
        <f>'1 - Modelo'!B64</f>
        <v>0</v>
      </c>
      <c r="C64" s="13">
        <f>'1 - Modelo'!D64</f>
        <v>0</v>
      </c>
    </row>
    <row r="65" spans="1:3" x14ac:dyDescent="0.3">
      <c r="A65" s="35" t="str">
        <f>IFERROR(VLOOKUP(B65,'BD Total'!$A$1:$B$506,2,0),"")</f>
        <v/>
      </c>
      <c r="B65" s="1">
        <f>'1 - Modelo'!B65</f>
        <v>0</v>
      </c>
      <c r="C65" s="13">
        <f>'1 - Modelo'!D65</f>
        <v>0</v>
      </c>
    </row>
    <row r="66" spans="1:3" x14ac:dyDescent="0.3">
      <c r="A66" s="35" t="str">
        <f>IFERROR(VLOOKUP(B66,'BD Total'!$A$1:$B$506,2,0),"")</f>
        <v/>
      </c>
      <c r="B66" s="1">
        <f>'1 - Modelo'!B66</f>
        <v>0</v>
      </c>
      <c r="C66" s="13">
        <f>'1 - Modelo'!D66</f>
        <v>0</v>
      </c>
    </row>
    <row r="67" spans="1:3" x14ac:dyDescent="0.3">
      <c r="A67" s="35" t="str">
        <f>IFERROR(VLOOKUP(B67,'BD Total'!$A$1:$B$506,2,0),"")</f>
        <v/>
      </c>
      <c r="B67" s="1">
        <f>'1 - Modelo'!B67</f>
        <v>0</v>
      </c>
      <c r="C67" s="13">
        <f>'1 - Modelo'!D67</f>
        <v>0</v>
      </c>
    </row>
    <row r="68" spans="1:3" x14ac:dyDescent="0.3">
      <c r="A68" s="35" t="str">
        <f>IFERROR(VLOOKUP(B68,'BD Total'!$A$1:$B$506,2,0),"")</f>
        <v/>
      </c>
      <c r="B68" s="1">
        <f>'1 - Modelo'!B68</f>
        <v>0</v>
      </c>
      <c r="C68" s="13">
        <f>'1 - Modelo'!D68</f>
        <v>0</v>
      </c>
    </row>
    <row r="69" spans="1:3" x14ac:dyDescent="0.3">
      <c r="A69" s="35" t="str">
        <f>IFERROR(VLOOKUP(B69,'BD Total'!$A$1:$B$506,2,0),"")</f>
        <v/>
      </c>
      <c r="B69" s="1">
        <f>'1 - Modelo'!B69</f>
        <v>0</v>
      </c>
      <c r="C69" s="13">
        <f>'1 - Modelo'!D69</f>
        <v>0</v>
      </c>
    </row>
    <row r="70" spans="1:3" x14ac:dyDescent="0.3">
      <c r="A70" s="35" t="str">
        <f>IFERROR(VLOOKUP(B70,'BD Total'!$A$1:$B$506,2,0),"")</f>
        <v/>
      </c>
      <c r="B70" s="1">
        <f>'1 - Modelo'!B70</f>
        <v>0</v>
      </c>
      <c r="C70" s="13">
        <f>'1 - Modelo'!D70</f>
        <v>0</v>
      </c>
    </row>
    <row r="71" spans="1:3" x14ac:dyDescent="0.3">
      <c r="A71" s="35" t="str">
        <f>IFERROR(VLOOKUP(B71,'BD Total'!$A$1:$B$506,2,0),"")</f>
        <v/>
      </c>
      <c r="B71" s="1">
        <f>'1 - Modelo'!B71</f>
        <v>0</v>
      </c>
      <c r="C71" s="13">
        <f>'1 - Modelo'!D71</f>
        <v>0</v>
      </c>
    </row>
    <row r="72" spans="1:3" x14ac:dyDescent="0.3">
      <c r="A72" s="35" t="str">
        <f>IFERROR(VLOOKUP(B72,'BD Total'!$A$1:$B$506,2,0),"")</f>
        <v/>
      </c>
      <c r="B72" s="1">
        <f>'1 - Modelo'!B72</f>
        <v>0</v>
      </c>
      <c r="C72" s="13">
        <f>'1 - Modelo'!D72</f>
        <v>0</v>
      </c>
    </row>
    <row r="73" spans="1:3" x14ac:dyDescent="0.3">
      <c r="A73" s="35" t="str">
        <f>IFERROR(VLOOKUP(B73,'BD Total'!$A$1:$B$506,2,0),"")</f>
        <v/>
      </c>
      <c r="B73" s="1">
        <f>'1 - Modelo'!B73</f>
        <v>0</v>
      </c>
      <c r="C73" s="13">
        <f>'1 - Modelo'!D73</f>
        <v>0</v>
      </c>
    </row>
    <row r="74" spans="1:3" x14ac:dyDescent="0.3">
      <c r="A74" s="35" t="str">
        <f>IFERROR(VLOOKUP(B74,'BD Total'!$A$1:$B$506,2,0),"")</f>
        <v/>
      </c>
      <c r="B74" s="1">
        <f>'1 - Modelo'!B74</f>
        <v>0</v>
      </c>
      <c r="C74" s="13">
        <f>'1 - Modelo'!D74</f>
        <v>0</v>
      </c>
    </row>
    <row r="75" spans="1:3" x14ac:dyDescent="0.3">
      <c r="A75" s="35" t="str">
        <f>IFERROR(VLOOKUP(B75,'BD Total'!$A$1:$B$506,2,0),"")</f>
        <v/>
      </c>
      <c r="B75" s="1">
        <f>'1 - Modelo'!B75</f>
        <v>0</v>
      </c>
      <c r="C75" s="13">
        <f>'1 - Modelo'!D75</f>
        <v>0</v>
      </c>
    </row>
    <row r="76" spans="1:3" x14ac:dyDescent="0.3">
      <c r="A76" s="35" t="str">
        <f>IFERROR(VLOOKUP(B76,'BD Total'!$A$1:$B$506,2,0),"")</f>
        <v/>
      </c>
      <c r="B76" s="1">
        <f>'1 - Modelo'!B76</f>
        <v>0</v>
      </c>
      <c r="C76" s="13">
        <f>'1 - Modelo'!D76</f>
        <v>0</v>
      </c>
    </row>
    <row r="77" spans="1:3" x14ac:dyDescent="0.3">
      <c r="A77" s="35" t="str">
        <f>IFERROR(VLOOKUP(B77,'BD Total'!$A$1:$B$506,2,0),"")</f>
        <v/>
      </c>
      <c r="B77" s="1">
        <f>'1 - Modelo'!B77</f>
        <v>0</v>
      </c>
      <c r="C77" s="13">
        <f>'1 - Modelo'!D77</f>
        <v>0</v>
      </c>
    </row>
    <row r="78" spans="1:3" x14ac:dyDescent="0.3">
      <c r="A78" s="35" t="str">
        <f>IFERROR(VLOOKUP(B78,'BD Total'!$A$1:$B$506,2,0),"")</f>
        <v/>
      </c>
      <c r="B78" s="1">
        <f>'1 - Modelo'!B78</f>
        <v>0</v>
      </c>
      <c r="C78" s="13">
        <f>'1 - Modelo'!D78</f>
        <v>0</v>
      </c>
    </row>
    <row r="79" spans="1:3" x14ac:dyDescent="0.3">
      <c r="A79" s="35" t="str">
        <f>IFERROR(VLOOKUP(B79,'BD Total'!$A$1:$B$506,2,0),"")</f>
        <v/>
      </c>
      <c r="B79" s="1">
        <f>'1 - Modelo'!B79</f>
        <v>0</v>
      </c>
      <c r="C79" s="13">
        <f>'1 - Modelo'!D79</f>
        <v>0</v>
      </c>
    </row>
    <row r="80" spans="1:3" x14ac:dyDescent="0.3">
      <c r="A80" s="35" t="str">
        <f>IFERROR(VLOOKUP(B80,'BD Total'!$A$1:$B$506,2,0),"")</f>
        <v/>
      </c>
      <c r="B80" s="1">
        <f>'1 - Modelo'!B80</f>
        <v>0</v>
      </c>
      <c r="C80" s="13">
        <f>'1 - Modelo'!D80</f>
        <v>0</v>
      </c>
    </row>
    <row r="81" spans="1:3" x14ac:dyDescent="0.3">
      <c r="A81" s="35" t="str">
        <f>IFERROR(VLOOKUP(B81,'BD Total'!$A$1:$B$506,2,0),"")</f>
        <v/>
      </c>
      <c r="B81" s="1">
        <f>'1 - Modelo'!B81</f>
        <v>0</v>
      </c>
      <c r="C81" s="13">
        <f>'1 - Modelo'!D81</f>
        <v>0</v>
      </c>
    </row>
    <row r="82" spans="1:3" x14ac:dyDescent="0.3">
      <c r="A82" s="35" t="str">
        <f>IFERROR(VLOOKUP(B82,'BD Total'!$A$1:$B$506,2,0),"")</f>
        <v/>
      </c>
      <c r="B82" s="1">
        <f>'1 - Modelo'!B82</f>
        <v>0</v>
      </c>
      <c r="C82" s="13">
        <f>'1 - Modelo'!D82</f>
        <v>0</v>
      </c>
    </row>
    <row r="83" spans="1:3" x14ac:dyDescent="0.3">
      <c r="A83" s="35" t="str">
        <f>IFERROR(VLOOKUP(B83,'BD Total'!$A$1:$B$506,2,0),"")</f>
        <v/>
      </c>
      <c r="B83" s="1">
        <f>'1 - Modelo'!B83</f>
        <v>0</v>
      </c>
      <c r="C83" s="13">
        <f>'1 - Modelo'!D83</f>
        <v>0</v>
      </c>
    </row>
    <row r="84" spans="1:3" x14ac:dyDescent="0.3">
      <c r="A84" s="35" t="str">
        <f>IFERROR(VLOOKUP(B84,'BD Total'!$A$1:$B$506,2,0),"")</f>
        <v/>
      </c>
      <c r="B84" s="1">
        <f>'1 - Modelo'!B84</f>
        <v>0</v>
      </c>
      <c r="C84" s="13">
        <f>'1 - Modelo'!D84</f>
        <v>0</v>
      </c>
    </row>
    <row r="85" spans="1:3" x14ac:dyDescent="0.3">
      <c r="A85" s="35" t="str">
        <f>IFERROR(VLOOKUP(B85,'BD Total'!$A$1:$B$506,2,0),"")</f>
        <v/>
      </c>
      <c r="B85" s="1">
        <f>'1 - Modelo'!B85</f>
        <v>0</v>
      </c>
      <c r="C85" s="13">
        <f>'1 - Modelo'!D85</f>
        <v>0</v>
      </c>
    </row>
    <row r="86" spans="1:3" x14ac:dyDescent="0.3">
      <c r="A86" s="35" t="str">
        <f>IFERROR(VLOOKUP(B86,'BD Total'!$A$1:$B$506,2,0),"")</f>
        <v/>
      </c>
      <c r="B86" s="1">
        <f>'1 - Modelo'!B86</f>
        <v>0</v>
      </c>
      <c r="C86" s="13">
        <f>'1 - Modelo'!D86</f>
        <v>0</v>
      </c>
    </row>
    <row r="87" spans="1:3" x14ac:dyDescent="0.3">
      <c r="A87" s="35" t="str">
        <f>IFERROR(VLOOKUP(B87,'BD Total'!$A$1:$B$506,2,0),"")</f>
        <v/>
      </c>
      <c r="B87" s="1">
        <f>'1 - Modelo'!B87</f>
        <v>0</v>
      </c>
      <c r="C87" s="13">
        <f>'1 - Modelo'!D87</f>
        <v>0</v>
      </c>
    </row>
    <row r="88" spans="1:3" x14ac:dyDescent="0.3">
      <c r="A88" s="35" t="str">
        <f>IFERROR(VLOOKUP(B88,'BD Total'!$A$1:$B$506,2,0),"")</f>
        <v/>
      </c>
      <c r="B88" s="1">
        <f>'1 - Modelo'!B88</f>
        <v>0</v>
      </c>
      <c r="C88" s="13">
        <f>'1 - Modelo'!D88</f>
        <v>0</v>
      </c>
    </row>
    <row r="89" spans="1:3" x14ac:dyDescent="0.3">
      <c r="A89" s="35" t="str">
        <f>IFERROR(VLOOKUP(B89,'BD Total'!$A$1:$B$506,2,0),"")</f>
        <v/>
      </c>
      <c r="B89" s="1">
        <f>'1 - Modelo'!B89</f>
        <v>0</v>
      </c>
      <c r="C89" s="13">
        <f>'1 - Modelo'!D89</f>
        <v>0</v>
      </c>
    </row>
    <row r="90" spans="1:3" x14ac:dyDescent="0.3">
      <c r="A90" s="35" t="str">
        <f>IFERROR(VLOOKUP(B90,'BD Total'!$A$1:$B$506,2,0),"")</f>
        <v/>
      </c>
      <c r="B90" s="1">
        <f>'1 - Modelo'!B90</f>
        <v>0</v>
      </c>
      <c r="C90" s="13">
        <f>'1 - Modelo'!D90</f>
        <v>0</v>
      </c>
    </row>
    <row r="91" spans="1:3" x14ac:dyDescent="0.3">
      <c r="A91" s="35" t="str">
        <f>IFERROR(VLOOKUP(B91,'BD Total'!$A$1:$B$506,2,0),"")</f>
        <v/>
      </c>
      <c r="B91" s="1">
        <f>'1 - Modelo'!B91</f>
        <v>0</v>
      </c>
      <c r="C91" s="13">
        <f>'1 - Modelo'!D91</f>
        <v>0</v>
      </c>
    </row>
    <row r="92" spans="1:3" x14ac:dyDescent="0.3">
      <c r="A92" s="35" t="str">
        <f>IFERROR(VLOOKUP(B92,'BD Total'!$A$1:$B$506,2,0),"")</f>
        <v/>
      </c>
      <c r="B92" s="1">
        <f>'1 - Modelo'!B92</f>
        <v>0</v>
      </c>
      <c r="C92" s="13">
        <f>'1 - Modelo'!D92</f>
        <v>0</v>
      </c>
    </row>
    <row r="93" spans="1:3" x14ac:dyDescent="0.3">
      <c r="A93" s="35" t="str">
        <f>IFERROR(VLOOKUP(B93,'BD Total'!$A$1:$B$506,2,0),"")</f>
        <v/>
      </c>
      <c r="B93" s="1">
        <f>'1 - Modelo'!B93</f>
        <v>0</v>
      </c>
      <c r="C93" s="13">
        <f>'1 - Modelo'!D93</f>
        <v>0</v>
      </c>
    </row>
    <row r="94" spans="1:3" x14ac:dyDescent="0.3">
      <c r="A94" s="35" t="str">
        <f>IFERROR(VLOOKUP(B94,'BD Total'!$A$1:$B$506,2,0),"")</f>
        <v/>
      </c>
      <c r="B94" s="1">
        <f>'1 - Modelo'!B94</f>
        <v>0</v>
      </c>
      <c r="C94" s="13">
        <f>'1 - Modelo'!D94</f>
        <v>0</v>
      </c>
    </row>
    <row r="95" spans="1:3" x14ac:dyDescent="0.3">
      <c r="A95" s="35" t="str">
        <f>IFERROR(VLOOKUP(B95,'BD Total'!$A$1:$B$506,2,0),"")</f>
        <v/>
      </c>
      <c r="B95" s="1">
        <f>'1 - Modelo'!B95</f>
        <v>0</v>
      </c>
      <c r="C95" s="13">
        <f>'1 - Modelo'!D95</f>
        <v>0</v>
      </c>
    </row>
    <row r="96" spans="1:3" x14ac:dyDescent="0.3">
      <c r="A96" s="35" t="str">
        <f>IFERROR(VLOOKUP(B96,'BD Total'!$A$1:$B$506,2,0),"")</f>
        <v/>
      </c>
      <c r="B96" s="1">
        <f>'1 - Modelo'!B96</f>
        <v>0</v>
      </c>
      <c r="C96" s="13">
        <f>'1 - Modelo'!D96</f>
        <v>0</v>
      </c>
    </row>
    <row r="97" spans="1:3" x14ac:dyDescent="0.3">
      <c r="A97" s="35" t="str">
        <f>IFERROR(VLOOKUP(B97,'BD Total'!$A$1:$B$506,2,0),"")</f>
        <v/>
      </c>
      <c r="B97" s="1">
        <f>'1 - Modelo'!B97</f>
        <v>0</v>
      </c>
      <c r="C97" s="13">
        <f>'1 - Modelo'!D97</f>
        <v>0</v>
      </c>
    </row>
    <row r="98" spans="1:3" x14ac:dyDescent="0.3">
      <c r="A98" s="35" t="str">
        <f>IFERROR(VLOOKUP(B98,'BD Total'!$A$1:$B$506,2,0),"")</f>
        <v/>
      </c>
      <c r="B98" s="1">
        <f>'1 - Modelo'!B98</f>
        <v>0</v>
      </c>
      <c r="C98" s="13">
        <f>'1 - Modelo'!D98</f>
        <v>0</v>
      </c>
    </row>
    <row r="99" spans="1:3" x14ac:dyDescent="0.3">
      <c r="A99" s="35" t="str">
        <f>IFERROR(VLOOKUP(B99,'BD Total'!$A$1:$B$506,2,0),"")</f>
        <v/>
      </c>
      <c r="B99" s="1">
        <f>'1 - Modelo'!B99</f>
        <v>0</v>
      </c>
      <c r="C99" s="13">
        <f>'1 - Modelo'!D99</f>
        <v>0</v>
      </c>
    </row>
    <row r="100" spans="1:3" x14ac:dyDescent="0.3">
      <c r="A100" s="35" t="str">
        <f>IFERROR(VLOOKUP(B100,'BD Total'!$A$1:$B$506,2,0),"")</f>
        <v/>
      </c>
      <c r="B100" s="1">
        <f>'1 - Modelo'!B100</f>
        <v>0</v>
      </c>
      <c r="C100" s="13">
        <f>'1 - Modelo'!D100</f>
        <v>0</v>
      </c>
    </row>
    <row r="101" spans="1:3" x14ac:dyDescent="0.3">
      <c r="A101" s="35" t="str">
        <f>IFERROR(VLOOKUP(B101,'BD Total'!$A$1:$B$506,2,0),"")</f>
        <v/>
      </c>
      <c r="B101" s="1">
        <f>'1 - Modelo'!B101</f>
        <v>0</v>
      </c>
      <c r="C101" s="13">
        <f>'1 - Modelo'!D101</f>
        <v>0</v>
      </c>
    </row>
    <row r="102" spans="1:3" x14ac:dyDescent="0.3">
      <c r="A102" s="35" t="str">
        <f>IFERROR(VLOOKUP(B102,'BD Total'!$A$1:$B$506,2,0),"")</f>
        <v/>
      </c>
      <c r="B102" s="1">
        <f>'1 - Modelo'!B102</f>
        <v>0</v>
      </c>
      <c r="C102" s="13">
        <f>'1 - Modelo'!D102</f>
        <v>0</v>
      </c>
    </row>
    <row r="103" spans="1:3" x14ac:dyDescent="0.3">
      <c r="A103" s="35" t="str">
        <f>IFERROR(VLOOKUP(B103,'BD Total'!$A$1:$B$506,2,0),"")</f>
        <v/>
      </c>
      <c r="B103" s="1">
        <f>'1 - Modelo'!B103</f>
        <v>0</v>
      </c>
      <c r="C103" s="13">
        <f>'1 - Modelo'!D103</f>
        <v>0</v>
      </c>
    </row>
    <row r="104" spans="1:3" x14ac:dyDescent="0.3">
      <c r="A104" s="35" t="str">
        <f>IFERROR(VLOOKUP(B104,'BD Total'!$A$1:$B$506,2,0),"")</f>
        <v/>
      </c>
      <c r="B104" s="1">
        <f>'1 - Modelo'!B104</f>
        <v>0</v>
      </c>
      <c r="C104" s="13">
        <f>'1 - Modelo'!D104</f>
        <v>0</v>
      </c>
    </row>
    <row r="105" spans="1:3" x14ac:dyDescent="0.3">
      <c r="A105" s="35" t="str">
        <f>IFERROR(VLOOKUP(B105,'BD Total'!$A$1:$B$506,2,0),"")</f>
        <v/>
      </c>
      <c r="B105" s="1">
        <f>'1 - Modelo'!B105</f>
        <v>0</v>
      </c>
      <c r="C105" s="13">
        <f>'1 - Modelo'!D105</f>
        <v>0</v>
      </c>
    </row>
    <row r="106" spans="1:3" x14ac:dyDescent="0.3">
      <c r="A106" s="35" t="str">
        <f>IFERROR(VLOOKUP(B106,'BD Total'!$A$1:$B$506,2,0),"")</f>
        <v/>
      </c>
      <c r="B106" s="1">
        <f>'1 - Modelo'!B106</f>
        <v>0</v>
      </c>
      <c r="C106" s="13">
        <f>'1 - Modelo'!D106</f>
        <v>0</v>
      </c>
    </row>
    <row r="107" spans="1:3" x14ac:dyDescent="0.3">
      <c r="A107" s="35" t="str">
        <f>IFERROR(VLOOKUP(B107,'BD Total'!$A$1:$B$506,2,0),"")</f>
        <v/>
      </c>
      <c r="B107" s="1">
        <f>'1 - Modelo'!B107</f>
        <v>0</v>
      </c>
      <c r="C107" s="13">
        <f>'1 - Modelo'!D107</f>
        <v>0</v>
      </c>
    </row>
    <row r="108" spans="1:3" x14ac:dyDescent="0.3">
      <c r="A108" s="35" t="str">
        <f>IFERROR(VLOOKUP(B108,'BD Total'!$A$1:$B$506,2,0),"")</f>
        <v/>
      </c>
      <c r="B108" s="1">
        <f>'1 - Modelo'!B108</f>
        <v>0</v>
      </c>
      <c r="C108" s="13">
        <f>'1 - Modelo'!D108</f>
        <v>0</v>
      </c>
    </row>
    <row r="109" spans="1:3" x14ac:dyDescent="0.3">
      <c r="A109" s="35" t="str">
        <f>IFERROR(VLOOKUP(B109,'BD Total'!$A$1:$B$506,2,0),"")</f>
        <v/>
      </c>
      <c r="B109" s="1">
        <f>'1 - Modelo'!B109</f>
        <v>0</v>
      </c>
      <c r="C109" s="13">
        <f>'1 - Modelo'!D109</f>
        <v>0</v>
      </c>
    </row>
    <row r="110" spans="1:3" x14ac:dyDescent="0.3">
      <c r="A110" s="35" t="str">
        <f>IFERROR(VLOOKUP(B110,'BD Total'!$A$1:$B$506,2,0),"")</f>
        <v/>
      </c>
      <c r="B110" s="1">
        <f>'1 - Modelo'!B110</f>
        <v>0</v>
      </c>
      <c r="C110" s="13">
        <f>'1 - Modelo'!D110</f>
        <v>0</v>
      </c>
    </row>
    <row r="111" spans="1:3" x14ac:dyDescent="0.3">
      <c r="A111" s="35" t="str">
        <f>IFERROR(VLOOKUP(B111,'BD Total'!$A$1:$B$506,2,0),"")</f>
        <v/>
      </c>
      <c r="B111" s="1">
        <f>'1 - Modelo'!B111</f>
        <v>0</v>
      </c>
      <c r="C111" s="13">
        <f>'1 - Modelo'!D111</f>
        <v>0</v>
      </c>
    </row>
    <row r="112" spans="1:3" x14ac:dyDescent="0.3">
      <c r="A112" s="35" t="str">
        <f>IFERROR(VLOOKUP(B112,'BD Total'!$A$1:$B$506,2,0),"")</f>
        <v/>
      </c>
      <c r="B112" s="1">
        <f>'1 - Modelo'!B112</f>
        <v>0</v>
      </c>
      <c r="C112" s="13">
        <f>'1 - Modelo'!D112</f>
        <v>0</v>
      </c>
    </row>
    <row r="113" spans="1:3" x14ac:dyDescent="0.3">
      <c r="A113" s="35" t="str">
        <f>IFERROR(VLOOKUP(B113,'BD Total'!$A$1:$B$506,2,0),"")</f>
        <v/>
      </c>
      <c r="B113" s="1">
        <f>'1 - Modelo'!B113</f>
        <v>0</v>
      </c>
      <c r="C113" s="13">
        <f>'1 - Modelo'!D113</f>
        <v>0</v>
      </c>
    </row>
    <row r="114" spans="1:3" x14ac:dyDescent="0.3">
      <c r="A114" s="35" t="str">
        <f>IFERROR(VLOOKUP(B114,'BD Total'!$A$1:$B$506,2,0),"")</f>
        <v/>
      </c>
      <c r="B114" s="1">
        <f>'1 - Modelo'!B114</f>
        <v>0</v>
      </c>
      <c r="C114" s="13">
        <f>'1 - Modelo'!D114</f>
        <v>0</v>
      </c>
    </row>
    <row r="115" spans="1:3" x14ac:dyDescent="0.3">
      <c r="A115" s="35" t="str">
        <f>IFERROR(VLOOKUP(B115,'BD Total'!$A$1:$B$506,2,0),"")</f>
        <v/>
      </c>
      <c r="B115" s="1">
        <f>'1 - Modelo'!B115</f>
        <v>0</v>
      </c>
      <c r="C115" s="13">
        <f>'1 - Modelo'!D115</f>
        <v>0</v>
      </c>
    </row>
    <row r="116" spans="1:3" x14ac:dyDescent="0.3">
      <c r="A116" s="35" t="str">
        <f>IFERROR(VLOOKUP(B116,'BD Total'!$A$1:$B$506,2,0),"")</f>
        <v/>
      </c>
      <c r="B116" s="1">
        <f>'1 - Modelo'!B116</f>
        <v>0</v>
      </c>
      <c r="C116" s="13">
        <f>'1 - Modelo'!D116</f>
        <v>0</v>
      </c>
    </row>
    <row r="117" spans="1:3" x14ac:dyDescent="0.3">
      <c r="A117" s="35" t="str">
        <f>IFERROR(VLOOKUP(B117,'BD Total'!$A$1:$B$506,2,0),"")</f>
        <v/>
      </c>
      <c r="B117" s="1">
        <f>'1 - Modelo'!B117</f>
        <v>0</v>
      </c>
      <c r="C117" s="13">
        <f>'1 - Modelo'!D117</f>
        <v>0</v>
      </c>
    </row>
    <row r="118" spans="1:3" x14ac:dyDescent="0.3">
      <c r="A118" s="35" t="str">
        <f>IFERROR(VLOOKUP(B118,'BD Total'!$A$1:$B$506,2,0),"")</f>
        <v/>
      </c>
      <c r="B118" s="1">
        <f>'1 - Modelo'!B118</f>
        <v>0</v>
      </c>
      <c r="C118" s="13">
        <f>'1 - Modelo'!D118</f>
        <v>0</v>
      </c>
    </row>
    <row r="119" spans="1:3" x14ac:dyDescent="0.3">
      <c r="A119" s="35" t="str">
        <f>IFERROR(VLOOKUP(B119,'BD Total'!$A$1:$B$506,2,0),"")</f>
        <v/>
      </c>
      <c r="B119" s="1">
        <f>'1 - Modelo'!B119</f>
        <v>0</v>
      </c>
      <c r="C119" s="13">
        <f>'1 - Modelo'!D119</f>
        <v>0</v>
      </c>
    </row>
    <row r="120" spans="1:3" x14ac:dyDescent="0.3">
      <c r="A120" s="35" t="str">
        <f>IFERROR(VLOOKUP(B120,'BD Total'!$A$1:$B$506,2,0),"")</f>
        <v/>
      </c>
      <c r="B120" s="1">
        <f>'1 - Modelo'!B120</f>
        <v>0</v>
      </c>
      <c r="C120" s="13">
        <f>'1 - Modelo'!D120</f>
        <v>0</v>
      </c>
    </row>
    <row r="121" spans="1:3" x14ac:dyDescent="0.3">
      <c r="A121" s="35" t="str">
        <f>IFERROR(VLOOKUP(B121,'BD Total'!$A$1:$B$506,2,0),"")</f>
        <v/>
      </c>
      <c r="B121" s="1">
        <f>'1 - Modelo'!B121</f>
        <v>0</v>
      </c>
      <c r="C121" s="13">
        <f>'1 - Modelo'!D121</f>
        <v>0</v>
      </c>
    </row>
    <row r="122" spans="1:3" x14ac:dyDescent="0.3">
      <c r="A122" s="35" t="str">
        <f>IFERROR(VLOOKUP(B122,'BD Total'!$A$1:$B$506,2,0),"")</f>
        <v/>
      </c>
      <c r="B122" s="1">
        <f>'1 - Modelo'!B122</f>
        <v>0</v>
      </c>
      <c r="C122" s="13">
        <f>'1 - Modelo'!D122</f>
        <v>0</v>
      </c>
    </row>
    <row r="123" spans="1:3" x14ac:dyDescent="0.3">
      <c r="A123" s="35" t="str">
        <f>IFERROR(VLOOKUP(B123,'BD Total'!$A$1:$B$506,2,0),"")</f>
        <v/>
      </c>
      <c r="B123" s="1">
        <f>'1 - Modelo'!B123</f>
        <v>0</v>
      </c>
      <c r="C123" s="13">
        <f>'1 - Modelo'!D123</f>
        <v>0</v>
      </c>
    </row>
    <row r="124" spans="1:3" x14ac:dyDescent="0.3">
      <c r="A124" s="35" t="str">
        <f>IFERROR(VLOOKUP(B124,'BD Total'!$A$1:$B$506,2,0),"")</f>
        <v/>
      </c>
      <c r="B124" s="1">
        <f>'1 - Modelo'!B124</f>
        <v>0</v>
      </c>
      <c r="C124" s="13">
        <f>'1 - Modelo'!D124</f>
        <v>0</v>
      </c>
    </row>
    <row r="125" spans="1:3" x14ac:dyDescent="0.3">
      <c r="A125" s="35" t="str">
        <f>IFERROR(VLOOKUP(B125,'BD Total'!$A$1:$B$506,2,0),"")</f>
        <v/>
      </c>
      <c r="B125" s="1">
        <f>'1 - Modelo'!B125</f>
        <v>0</v>
      </c>
      <c r="C125" s="13">
        <f>'1 - Modelo'!D125</f>
        <v>0</v>
      </c>
    </row>
    <row r="126" spans="1:3" x14ac:dyDescent="0.3">
      <c r="A126" s="35" t="str">
        <f>IFERROR(VLOOKUP(B126,'BD Total'!$A$1:$B$506,2,0),"")</f>
        <v/>
      </c>
      <c r="B126" s="1">
        <f>'1 - Modelo'!B126</f>
        <v>0</v>
      </c>
      <c r="C126" s="13">
        <f>'1 - Modelo'!D126</f>
        <v>0</v>
      </c>
    </row>
    <row r="127" spans="1:3" x14ac:dyDescent="0.3">
      <c r="A127" s="35" t="str">
        <f>IFERROR(VLOOKUP(B127,'BD Total'!$A$1:$B$506,2,0),"")</f>
        <v/>
      </c>
      <c r="B127" s="1">
        <f>'1 - Modelo'!B127</f>
        <v>0</v>
      </c>
      <c r="C127" s="13">
        <f>'1 - Modelo'!D127</f>
        <v>0</v>
      </c>
    </row>
    <row r="128" spans="1:3" x14ac:dyDescent="0.3">
      <c r="A128" s="35" t="str">
        <f>IFERROR(VLOOKUP(B128,'BD Total'!$A$1:$B$506,2,0),"")</f>
        <v/>
      </c>
      <c r="B128" s="1">
        <f>'1 - Modelo'!B128</f>
        <v>0</v>
      </c>
      <c r="C128" s="13">
        <f>'1 - Modelo'!D128</f>
        <v>0</v>
      </c>
    </row>
    <row r="129" spans="1:3" x14ac:dyDescent="0.3">
      <c r="A129" s="35" t="str">
        <f>IFERROR(VLOOKUP(B129,'BD Total'!$A$1:$B$506,2,0),"")</f>
        <v/>
      </c>
      <c r="B129" s="1">
        <f>'1 - Modelo'!B129</f>
        <v>0</v>
      </c>
      <c r="C129" s="13">
        <f>'1 - Modelo'!D129</f>
        <v>0</v>
      </c>
    </row>
    <row r="130" spans="1:3" x14ac:dyDescent="0.3">
      <c r="A130" s="35" t="str">
        <f>IFERROR(VLOOKUP(B130,'BD Total'!$A$1:$B$506,2,0),"")</f>
        <v/>
      </c>
      <c r="B130" s="1">
        <f>'1 - Modelo'!B130</f>
        <v>0</v>
      </c>
      <c r="C130" s="13">
        <f>'1 - Modelo'!D130</f>
        <v>0</v>
      </c>
    </row>
    <row r="131" spans="1:3" x14ac:dyDescent="0.3">
      <c r="A131" s="35" t="str">
        <f>IFERROR(VLOOKUP(B131,'BD Total'!$A$1:$B$506,2,0),"")</f>
        <v/>
      </c>
      <c r="B131" s="1">
        <f>'1 - Modelo'!B131</f>
        <v>0</v>
      </c>
      <c r="C131" s="13">
        <f>'1 - Modelo'!D131</f>
        <v>0</v>
      </c>
    </row>
    <row r="132" spans="1:3" x14ac:dyDescent="0.3">
      <c r="A132" s="35" t="str">
        <f>IFERROR(VLOOKUP(B132,'BD Total'!$A$1:$B$506,2,0),"")</f>
        <v/>
      </c>
      <c r="B132" s="1">
        <f>'1 - Modelo'!B132</f>
        <v>0</v>
      </c>
      <c r="C132" s="13">
        <f>'1 - Modelo'!D132</f>
        <v>0</v>
      </c>
    </row>
    <row r="133" spans="1:3" x14ac:dyDescent="0.3">
      <c r="A133" s="35" t="str">
        <f>IFERROR(VLOOKUP(B133,'BD Total'!$A$1:$B$506,2,0),"")</f>
        <v/>
      </c>
      <c r="B133" s="1">
        <f>'1 - Modelo'!B133</f>
        <v>0</v>
      </c>
      <c r="C133" s="13">
        <f>'1 - Modelo'!D133</f>
        <v>0</v>
      </c>
    </row>
    <row r="134" spans="1:3" x14ac:dyDescent="0.3">
      <c r="A134" s="35" t="str">
        <f>IFERROR(VLOOKUP(B134,'BD Total'!$A$1:$B$506,2,0),"")</f>
        <v/>
      </c>
      <c r="B134" s="1">
        <f>'1 - Modelo'!B134</f>
        <v>0</v>
      </c>
      <c r="C134" s="13">
        <f>'1 - Modelo'!D134</f>
        <v>0</v>
      </c>
    </row>
    <row r="135" spans="1:3" x14ac:dyDescent="0.3">
      <c r="A135" s="35" t="str">
        <f>IFERROR(VLOOKUP(B135,'BD Total'!$A$1:$B$506,2,0),"")</f>
        <v/>
      </c>
      <c r="B135" s="1">
        <f>'1 - Modelo'!B135</f>
        <v>0</v>
      </c>
      <c r="C135" s="13">
        <f>'1 - Modelo'!D135</f>
        <v>0</v>
      </c>
    </row>
    <row r="136" spans="1:3" x14ac:dyDescent="0.3">
      <c r="A136" s="35" t="str">
        <f>IFERROR(VLOOKUP(B136,'BD Total'!$A$1:$B$506,2,0),"")</f>
        <v/>
      </c>
      <c r="B136" s="1">
        <f>'1 - Modelo'!B136</f>
        <v>0</v>
      </c>
      <c r="C136" s="13">
        <f>'1 - Modelo'!D136</f>
        <v>0</v>
      </c>
    </row>
    <row r="137" spans="1:3" x14ac:dyDescent="0.3">
      <c r="A137" s="35" t="str">
        <f>IFERROR(VLOOKUP(B137,'BD Total'!$A$1:$B$506,2,0),"")</f>
        <v/>
      </c>
      <c r="B137" s="1">
        <f>'1 - Modelo'!B137</f>
        <v>0</v>
      </c>
      <c r="C137" s="13">
        <f>'1 - Modelo'!D137</f>
        <v>0</v>
      </c>
    </row>
    <row r="138" spans="1:3" x14ac:dyDescent="0.3">
      <c r="A138" s="35" t="str">
        <f>IFERROR(VLOOKUP(B138,'BD Total'!$A$1:$B$506,2,0),"")</f>
        <v/>
      </c>
      <c r="B138" s="1">
        <f>'1 - Modelo'!B138</f>
        <v>0</v>
      </c>
      <c r="C138" s="13">
        <f>'1 - Modelo'!D138</f>
        <v>0</v>
      </c>
    </row>
    <row r="139" spans="1:3" x14ac:dyDescent="0.3">
      <c r="A139" s="35" t="str">
        <f>IFERROR(VLOOKUP(B139,'BD Total'!$A$1:$B$506,2,0),"")</f>
        <v/>
      </c>
      <c r="B139" s="1">
        <f>'1 - Modelo'!B139</f>
        <v>0</v>
      </c>
      <c r="C139" s="13">
        <f>'1 - Modelo'!D139</f>
        <v>0</v>
      </c>
    </row>
    <row r="140" spans="1:3" x14ac:dyDescent="0.3">
      <c r="A140" s="35" t="str">
        <f>IFERROR(VLOOKUP(B140,'BD Total'!$A$1:$B$506,2,0),"")</f>
        <v/>
      </c>
      <c r="B140" s="1">
        <f>'1 - Modelo'!B140</f>
        <v>0</v>
      </c>
      <c r="C140" s="13">
        <f>'1 - Modelo'!D140</f>
        <v>0</v>
      </c>
    </row>
    <row r="141" spans="1:3" x14ac:dyDescent="0.3">
      <c r="A141" s="35" t="str">
        <f>IFERROR(VLOOKUP(B141,'BD Total'!$A$1:$B$506,2,0),"")</f>
        <v/>
      </c>
      <c r="B141" s="1">
        <f>'1 - Modelo'!B141</f>
        <v>0</v>
      </c>
      <c r="C141" s="13">
        <f>'1 - Modelo'!D141</f>
        <v>0</v>
      </c>
    </row>
    <row r="142" spans="1:3" x14ac:dyDescent="0.3">
      <c r="A142" s="35" t="str">
        <f>IFERROR(VLOOKUP(B142,'BD Total'!$A$1:$B$506,2,0),"")</f>
        <v/>
      </c>
      <c r="B142" s="1">
        <f>'1 - Modelo'!B142</f>
        <v>0</v>
      </c>
      <c r="C142" s="13">
        <f>'1 - Modelo'!D142</f>
        <v>0</v>
      </c>
    </row>
    <row r="143" spans="1:3" x14ac:dyDescent="0.3">
      <c r="A143" s="35" t="str">
        <f>IFERROR(VLOOKUP(B143,'BD Total'!$A$1:$B$506,2,0),"")</f>
        <v/>
      </c>
      <c r="B143" s="1">
        <f>'1 - Modelo'!B143</f>
        <v>0</v>
      </c>
      <c r="C143" s="13">
        <f>'1 - Modelo'!D143</f>
        <v>0</v>
      </c>
    </row>
    <row r="144" spans="1:3" x14ac:dyDescent="0.3">
      <c r="A144" s="35" t="str">
        <f>IFERROR(VLOOKUP(B144,'BD Total'!$A$1:$B$506,2,0),"")</f>
        <v/>
      </c>
      <c r="B144" s="1">
        <f>'1 - Modelo'!B144</f>
        <v>0</v>
      </c>
      <c r="C144" s="13">
        <f>'1 - Modelo'!D144</f>
        <v>0</v>
      </c>
    </row>
    <row r="145" spans="1:3" x14ac:dyDescent="0.3">
      <c r="A145" s="35" t="str">
        <f>IFERROR(VLOOKUP(B145,'BD Total'!$A$1:$B$506,2,0),"")</f>
        <v/>
      </c>
      <c r="B145" s="1">
        <f>'1 - Modelo'!B145</f>
        <v>0</v>
      </c>
      <c r="C145" s="13">
        <f>'1 - Modelo'!D145</f>
        <v>0</v>
      </c>
    </row>
    <row r="146" spans="1:3" x14ac:dyDescent="0.3">
      <c r="A146" s="35" t="str">
        <f>IFERROR(VLOOKUP(B146,'BD Total'!$A$1:$B$506,2,0),"")</f>
        <v/>
      </c>
      <c r="B146" s="1">
        <f>'1 - Modelo'!B146</f>
        <v>0</v>
      </c>
      <c r="C146" s="13">
        <f>'1 - Modelo'!D146</f>
        <v>0</v>
      </c>
    </row>
    <row r="147" spans="1:3" x14ac:dyDescent="0.3">
      <c r="A147" s="35" t="str">
        <f>IFERROR(VLOOKUP(B147,'BD Total'!$A$1:$B$506,2,0),"")</f>
        <v/>
      </c>
      <c r="B147" s="1">
        <f>'1 - Modelo'!B147</f>
        <v>0</v>
      </c>
      <c r="C147" s="13">
        <f>'1 - Modelo'!D147</f>
        <v>0</v>
      </c>
    </row>
    <row r="148" spans="1:3" x14ac:dyDescent="0.3">
      <c r="A148" s="35" t="str">
        <f>IFERROR(VLOOKUP(B148,'BD Total'!$A$1:$B$506,2,0),"")</f>
        <v/>
      </c>
      <c r="B148" s="1">
        <f>'1 - Modelo'!B148</f>
        <v>0</v>
      </c>
      <c r="C148" s="13">
        <f>'1 - Modelo'!D148</f>
        <v>0</v>
      </c>
    </row>
    <row r="149" spans="1:3" x14ac:dyDescent="0.3">
      <c r="A149" s="35" t="str">
        <f>IFERROR(VLOOKUP(B149,'BD Total'!$A$1:$B$506,2,0),"")</f>
        <v/>
      </c>
      <c r="B149" s="1">
        <f>'1 - Modelo'!B149</f>
        <v>0</v>
      </c>
      <c r="C149" s="13">
        <f>'1 - Modelo'!D149</f>
        <v>0</v>
      </c>
    </row>
    <row r="150" spans="1:3" x14ac:dyDescent="0.3">
      <c r="A150" s="35" t="str">
        <f>IFERROR(VLOOKUP(B150,'BD Total'!$A$1:$B$506,2,0),"")</f>
        <v/>
      </c>
      <c r="B150" s="1">
        <f>'1 - Modelo'!B150</f>
        <v>0</v>
      </c>
      <c r="C150" s="13">
        <f>'1 - Modelo'!D150</f>
        <v>0</v>
      </c>
    </row>
    <row r="151" spans="1:3" x14ac:dyDescent="0.3">
      <c r="A151" s="35" t="str">
        <f>IFERROR(VLOOKUP(B151,'BD Total'!$A$1:$B$506,2,0),"")</f>
        <v/>
      </c>
      <c r="B151" s="1">
        <f>'1 - Modelo'!B151</f>
        <v>0</v>
      </c>
      <c r="C151" s="13">
        <f>'1 - Modelo'!D151</f>
        <v>0</v>
      </c>
    </row>
    <row r="152" spans="1:3" x14ac:dyDescent="0.3">
      <c r="A152" s="35" t="str">
        <f>IFERROR(VLOOKUP(B152,'BD Total'!$A$1:$B$506,2,0),"")</f>
        <v/>
      </c>
      <c r="B152" s="1">
        <f>'1 - Modelo'!B152</f>
        <v>0</v>
      </c>
      <c r="C152" s="13">
        <f>'1 - Modelo'!D152</f>
        <v>0</v>
      </c>
    </row>
    <row r="153" spans="1:3" x14ac:dyDescent="0.3">
      <c r="A153" s="35" t="str">
        <f>IFERROR(VLOOKUP(B153,'BD Total'!$A$1:$B$506,2,0),"")</f>
        <v/>
      </c>
      <c r="B153" s="1">
        <f>'1 - Modelo'!B153</f>
        <v>0</v>
      </c>
      <c r="C153" s="13">
        <f>'1 - Modelo'!D153</f>
        <v>0</v>
      </c>
    </row>
    <row r="154" spans="1:3" x14ac:dyDescent="0.3">
      <c r="A154" s="35" t="str">
        <f>IFERROR(VLOOKUP(B154,'BD Total'!$A$1:$B$506,2,0),"")</f>
        <v/>
      </c>
      <c r="B154" s="1">
        <f>'1 - Modelo'!B154</f>
        <v>0</v>
      </c>
      <c r="C154" s="13">
        <f>'1 - Modelo'!D154</f>
        <v>0</v>
      </c>
    </row>
    <row r="155" spans="1:3" x14ac:dyDescent="0.3">
      <c r="A155" s="35" t="str">
        <f>IFERROR(VLOOKUP(B155,'BD Total'!$A$1:$B$506,2,0),"")</f>
        <v/>
      </c>
      <c r="B155" s="1">
        <f>'1 - Modelo'!B155</f>
        <v>0</v>
      </c>
      <c r="C155" s="13">
        <f>'1 - Modelo'!D155</f>
        <v>0</v>
      </c>
    </row>
  </sheetData>
  <protectedRanges>
    <protectedRange algorithmName="SHA-512" hashValue="6YK2nG6AGlhnuxLUwypduI74N7RB1CRTNsW2fXIH7JMsIwYZ2feaXfHoKX5Jpqottj6djXyYsDTv661EFodFzw==" saltValue="xEwnV1S9D/W8Q0Ux21uXBA==" spinCount="100000" sqref="A11:B11" name="Rango1"/>
  </protectedRange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1900-5F95-4562-BB63-7FCA3109098F}">
  <dimension ref="B1:L298"/>
  <sheetViews>
    <sheetView showGridLines="0" zoomScaleNormal="100" workbookViewId="0">
      <selection activeCell="C6" sqref="C6"/>
    </sheetView>
  </sheetViews>
  <sheetFormatPr baseColWidth="10" defaultColWidth="11.44140625" defaultRowHeight="14.4" x14ac:dyDescent="0.3"/>
  <cols>
    <col min="2" max="2" width="12.6640625" customWidth="1"/>
    <col min="3" max="3" width="48.33203125" style="15" customWidth="1"/>
    <col min="4" max="4" width="14.109375" customWidth="1"/>
    <col min="5" max="5" width="11.109375" customWidth="1"/>
    <col min="6" max="6" width="12.6640625" customWidth="1"/>
    <col min="7" max="7" width="14.44140625" customWidth="1"/>
    <col min="8" max="8" width="18.109375" hidden="1" customWidth="1"/>
    <col min="9" max="9" width="22.33203125" hidden="1" customWidth="1"/>
    <col min="10" max="10" width="9.6640625" customWidth="1"/>
    <col min="11" max="11" width="23.44140625" customWidth="1"/>
  </cols>
  <sheetData>
    <row r="1" spans="2:12" ht="15.6" x14ac:dyDescent="0.3">
      <c r="B1" s="53"/>
    </row>
    <row r="2" spans="2:12" ht="15" thickBot="1" x14ac:dyDescent="0.35">
      <c r="B2" s="98"/>
      <c r="E2" s="161" t="s">
        <v>821</v>
      </c>
      <c r="F2" s="162"/>
      <c r="G2" s="163"/>
    </row>
    <row r="3" spans="2:12" ht="15" thickTop="1" x14ac:dyDescent="0.3"/>
    <row r="4" spans="2:12" x14ac:dyDescent="0.3">
      <c r="E4" s="168" t="s">
        <v>829</v>
      </c>
      <c r="F4" s="169"/>
      <c r="G4" s="29">
        <f>SUM(G14:G1048576)</f>
        <v>39331405.865546219</v>
      </c>
      <c r="L4" s="18"/>
    </row>
    <row r="5" spans="2:12" x14ac:dyDescent="0.3">
      <c r="E5" s="170"/>
      <c r="F5" s="171"/>
      <c r="G5" s="46"/>
      <c r="L5" s="18"/>
    </row>
    <row r="6" spans="2:12" x14ac:dyDescent="0.3">
      <c r="B6" s="100" t="s">
        <v>830</v>
      </c>
      <c r="C6" s="37" t="s">
        <v>663</v>
      </c>
      <c r="E6" s="164" t="s">
        <v>831</v>
      </c>
      <c r="F6" s="160"/>
      <c r="G6" s="44">
        <f>'2 - Margenes Proyecto'!G7</f>
        <v>51917455.74252101</v>
      </c>
    </row>
    <row r="7" spans="2:12" ht="15" thickBot="1" x14ac:dyDescent="0.35">
      <c r="B7" s="101" t="s">
        <v>832</v>
      </c>
      <c r="C7" s="131" t="str">
        <f>IFERROR(VLOOKUP(C6,'BD Total'!A1:E506,2,0),"")</f>
        <v>Ventana</v>
      </c>
      <c r="E7" s="165" t="s">
        <v>833</v>
      </c>
      <c r="F7" s="166"/>
      <c r="G7" s="45">
        <f>'2 - Margenes Proyecto'!C10</f>
        <v>9864316.5910789929</v>
      </c>
    </row>
    <row r="8" spans="2:12" ht="15.6" thickTop="1" thickBot="1" x14ac:dyDescent="0.35">
      <c r="B8" s="132" t="s">
        <v>834</v>
      </c>
      <c r="C8" s="138">
        <f>IFERROR(VLOOKUP(C6,'BD Total'!A1:E507,4,0),"")</f>
        <v>362000</v>
      </c>
      <c r="E8" s="167" t="s">
        <v>822</v>
      </c>
      <c r="F8" s="167"/>
      <c r="G8" s="95">
        <f>SUM(G6:G7)</f>
        <v>61781772.3336</v>
      </c>
    </row>
    <row r="9" spans="2:12" ht="15" hidden="1" thickTop="1" x14ac:dyDescent="0.3"/>
    <row r="10" spans="2:12" ht="15" hidden="1" thickTop="1" x14ac:dyDescent="0.3"/>
    <row r="11" spans="2:12" ht="15" thickTop="1" x14ac:dyDescent="0.3"/>
    <row r="13" spans="2:12" ht="15.6" x14ac:dyDescent="0.3">
      <c r="B13" s="99" t="s">
        <v>1</v>
      </c>
      <c r="C13" s="94" t="s">
        <v>0</v>
      </c>
      <c r="D13" s="94" t="s">
        <v>2</v>
      </c>
      <c r="E13" s="94" t="s">
        <v>776</v>
      </c>
      <c r="F13" s="94" t="s">
        <v>823</v>
      </c>
      <c r="G13" s="94" t="s">
        <v>824</v>
      </c>
      <c r="H13" s="6" t="s">
        <v>5</v>
      </c>
      <c r="I13" s="6" t="s">
        <v>6</v>
      </c>
    </row>
    <row r="14" spans="2:12" x14ac:dyDescent="0.3">
      <c r="B14" s="1" t="s">
        <v>9</v>
      </c>
      <c r="C14" s="1" t="s">
        <v>29</v>
      </c>
      <c r="D14" s="13" t="str">
        <f>IFERROR(VLOOKUP(C14,'BD Total'!$A$1:$H$506,3,0),"")</f>
        <v>Unidad</v>
      </c>
      <c r="E14" s="13">
        <v>1</v>
      </c>
      <c r="F14" s="14">
        <f>IFERROR(VLOOKUP(C14,'BD Total'!$A$1:$H$506,4,0),"")</f>
        <v>50000</v>
      </c>
      <c r="G14" s="54">
        <f t="shared" ref="G14:G77" si="0">IFERROR(F14*E14,"")</f>
        <v>50000</v>
      </c>
      <c r="H14" t="str">
        <f>IFERROR(VLOOKUP(C14,'BD Total'!$A$1:$G$506,6,0),"")</f>
        <v>Si</v>
      </c>
      <c r="I14" t="str">
        <f>IFERROR(VLOOKUP(C14,'BD Total'!$A$1:$G$506,7,0),"")</f>
        <v>Si</v>
      </c>
    </row>
    <row r="15" spans="2:12" x14ac:dyDescent="0.3">
      <c r="B15" s="1" t="s">
        <v>9</v>
      </c>
      <c r="C15" s="1" t="s">
        <v>25</v>
      </c>
      <c r="D15" s="13" t="str">
        <f>IFERROR(VLOOKUP(C15,'BD Total'!$A$1:$H$506,3,0),"")</f>
        <v>Unidad</v>
      </c>
      <c r="E15" s="13">
        <v>2</v>
      </c>
      <c r="F15" s="14">
        <f>IFERROR(VLOOKUP(C15,'BD Total'!$A$1:$H$506,4,0),"")</f>
        <v>350000</v>
      </c>
      <c r="G15" s="54">
        <f t="shared" si="0"/>
        <v>700000</v>
      </c>
      <c r="H15" t="str">
        <f>IFERROR(VLOOKUP(C15,'BD Total'!$A$1:$G$506,6,0),"")</f>
        <v>Si</v>
      </c>
      <c r="I15" t="str">
        <f>IFERROR(VLOOKUP(C15,'BD Total'!$A$1:$G$506,7,0),"")</f>
        <v>Si</v>
      </c>
    </row>
    <row r="16" spans="2:12" x14ac:dyDescent="0.3">
      <c r="B16" s="1" t="s">
        <v>9</v>
      </c>
      <c r="C16" s="1" t="s">
        <v>56</v>
      </c>
      <c r="D16" s="13" t="str">
        <f>IFERROR(VLOOKUP(C16,'BD Total'!$A$1:$H$506,3,0),"")</f>
        <v>Unidad</v>
      </c>
      <c r="E16" s="13">
        <v>1</v>
      </c>
      <c r="F16" s="14">
        <f>IFERROR(VLOOKUP(C16,'BD Total'!$A$1:$H$506,4,0),"")</f>
        <v>540000</v>
      </c>
      <c r="G16" s="54">
        <f t="shared" si="0"/>
        <v>540000</v>
      </c>
      <c r="H16" t="str">
        <f>IFERROR(VLOOKUP(C16,'BD Total'!$A$1:$G$506,6,0),"")</f>
        <v>Si</v>
      </c>
      <c r="I16" t="str">
        <f>IFERROR(VLOOKUP(C16,'BD Total'!$A$1:$G$506,7,0),"")</f>
        <v>Si</v>
      </c>
    </row>
    <row r="17" spans="2:10" x14ac:dyDescent="0.3">
      <c r="B17" s="1" t="s">
        <v>9</v>
      </c>
      <c r="C17" s="1" t="s">
        <v>34</v>
      </c>
      <c r="D17" s="13" t="str">
        <f>IFERROR(VLOOKUP(C17,'BD Total'!$A$1:$H$506,3,0),"")</f>
        <v>Unidad</v>
      </c>
      <c r="E17" s="13">
        <v>1</v>
      </c>
      <c r="F17" s="14">
        <f>IFERROR(VLOOKUP(C17,'BD Total'!$A$1:$H$506,4,0),"")</f>
        <v>70400</v>
      </c>
      <c r="G17" s="54">
        <f t="shared" si="0"/>
        <v>70400</v>
      </c>
      <c r="H17" t="str">
        <f>IFERROR(VLOOKUP(C17,'BD Total'!$A$1:$G$506,6,0),"")</f>
        <v>Si</v>
      </c>
      <c r="I17" t="str">
        <f>IFERROR(VLOOKUP(C17,'BD Total'!$A$1:$G$506,7,0),"")</f>
        <v>Si</v>
      </c>
    </row>
    <row r="18" spans="2:10" x14ac:dyDescent="0.3">
      <c r="B18" s="1" t="s">
        <v>78</v>
      </c>
      <c r="C18" s="1" t="s">
        <v>347</v>
      </c>
      <c r="D18" s="13" t="str">
        <f>IFERROR(VLOOKUP(C18,'BD Total'!$A$1:$H$506,3,0),"")</f>
        <v>Unidad</v>
      </c>
      <c r="E18" s="13">
        <v>8</v>
      </c>
      <c r="F18" s="14">
        <f>IFERROR(VLOOKUP(C18,'BD Total'!$A$1:$H$506,4,0),"")</f>
        <v>17638.655462184874</v>
      </c>
      <c r="G18" s="54">
        <f t="shared" si="0"/>
        <v>141109.24369747899</v>
      </c>
      <c r="H18" t="str">
        <f>IFERROR(VLOOKUP(C18,'BD Total'!$A$1:$G$506,6,0),"")</f>
        <v>No</v>
      </c>
      <c r="I18" t="str">
        <f>IFERROR(VLOOKUP(C18,'BD Total'!$A$1:$G$506,7,0),"")</f>
        <v>Si</v>
      </c>
    </row>
    <row r="19" spans="2:10" x14ac:dyDescent="0.3">
      <c r="B19" s="1" t="s">
        <v>59</v>
      </c>
      <c r="C19" s="1" t="s">
        <v>62</v>
      </c>
      <c r="D19" s="13" t="str">
        <f>IFERROR(VLOOKUP(C19,'BD Total'!$A$1:$H$506,3,0),"")</f>
        <v>m2</v>
      </c>
      <c r="E19" s="13">
        <v>190</v>
      </c>
      <c r="F19" s="14">
        <f>IFERROR(VLOOKUP(C19,'BD Total'!$A$1:$H$506,4,0),"")</f>
        <v>8000</v>
      </c>
      <c r="G19" s="54">
        <f t="shared" si="0"/>
        <v>1520000</v>
      </c>
      <c r="H19" t="str">
        <f>IFERROR(VLOOKUP(C19,'BD Total'!$A$1:$G$506,6,0),"")</f>
        <v>Si</v>
      </c>
      <c r="I19" t="str">
        <f>IFERROR(VLOOKUP(C19,'BD Total'!$A$1:$G$506,7,0),"")</f>
        <v>Si</v>
      </c>
    </row>
    <row r="20" spans="2:10" x14ac:dyDescent="0.3">
      <c r="B20" s="1" t="s">
        <v>78</v>
      </c>
      <c r="C20" s="1" t="s">
        <v>430</v>
      </c>
      <c r="D20" s="13" t="str">
        <f>IFERROR(VLOOKUP(C20,'BD Total'!$A$1:$H$506,3,0),"")</f>
        <v>Unidad</v>
      </c>
      <c r="E20" s="13">
        <v>3</v>
      </c>
      <c r="F20" s="14">
        <f>IFERROR(VLOOKUP(C20,'BD Total'!$A$1:$H$506,4,0),"")</f>
        <v>5000</v>
      </c>
      <c r="G20" s="54">
        <f t="shared" si="0"/>
        <v>15000</v>
      </c>
      <c r="H20" t="str">
        <f>IFERROR(VLOOKUP(C20,'BD Total'!$A$1:$G$506,6,0),"")</f>
        <v>No</v>
      </c>
      <c r="I20" t="str">
        <f>IFERROR(VLOOKUP(C20,'BD Total'!$A$1:$G$506,7,0),"")</f>
        <v>Si</v>
      </c>
    </row>
    <row r="21" spans="2:10" x14ac:dyDescent="0.3">
      <c r="B21" s="1" t="s">
        <v>78</v>
      </c>
      <c r="C21" s="1" t="s">
        <v>432</v>
      </c>
      <c r="D21" s="13" t="str">
        <f>IFERROR(VLOOKUP(C21,'BD Total'!$A$1:$H$506,3,0),"")</f>
        <v>Unidad</v>
      </c>
      <c r="E21" s="13">
        <v>3</v>
      </c>
      <c r="F21" s="14">
        <f>IFERROR(VLOOKUP(C21,'BD Total'!$A$1:$H$506,4,0),"")</f>
        <v>3500</v>
      </c>
      <c r="G21" s="54">
        <f t="shared" si="0"/>
        <v>10500</v>
      </c>
      <c r="H21" t="str">
        <f>IFERROR(VLOOKUP(C21,'BD Total'!$A$1:$G$506,6,0),"")</f>
        <v>No</v>
      </c>
      <c r="I21" t="str">
        <f>IFERROR(VLOOKUP(C21,'BD Total'!$A$1:$G$506,7,0),"")</f>
        <v>Si</v>
      </c>
    </row>
    <row r="22" spans="2:10" x14ac:dyDescent="0.3">
      <c r="B22" s="1" t="s">
        <v>78</v>
      </c>
      <c r="C22" s="1" t="s">
        <v>436</v>
      </c>
      <c r="D22" s="13" t="str">
        <f>IFERROR(VLOOKUP(C22,'BD Total'!$A$1:$H$506,3,0),"")</f>
        <v>Unidad</v>
      </c>
      <c r="E22" s="13">
        <v>3</v>
      </c>
      <c r="F22" s="14">
        <f>IFERROR(VLOOKUP(C22,'BD Total'!$A$1:$H$506,4,0),"")</f>
        <v>10084</v>
      </c>
      <c r="G22" s="54">
        <f t="shared" si="0"/>
        <v>30252</v>
      </c>
      <c r="H22" t="str">
        <f>IFERROR(VLOOKUP(C22,'BD Total'!$A$1:$G$506,6,0),"")</f>
        <v>No</v>
      </c>
      <c r="I22" t="str">
        <f>IFERROR(VLOOKUP(C22,'BD Total'!$A$1:$G$506,7,0),"")</f>
        <v>Si</v>
      </c>
    </row>
    <row r="23" spans="2:10" x14ac:dyDescent="0.3">
      <c r="B23" s="1" t="s">
        <v>78</v>
      </c>
      <c r="C23" s="1" t="s">
        <v>111</v>
      </c>
      <c r="D23" s="13" t="str">
        <f>IFERROR(VLOOKUP(C23,'BD Total'!$A$1:$H$506,3,0),"")</f>
        <v>m2</v>
      </c>
      <c r="E23" s="13">
        <v>27</v>
      </c>
      <c r="F23" s="14">
        <f>IFERROR(VLOOKUP(C23,'BD Total'!$A$1:$H$506,4,0),"")</f>
        <v>6992</v>
      </c>
      <c r="G23" s="54">
        <f t="shared" si="0"/>
        <v>188784</v>
      </c>
      <c r="H23" t="str">
        <f>IFERROR(VLOOKUP(C23,'BD Total'!$A$1:$G$506,6,0),"")</f>
        <v>Si</v>
      </c>
      <c r="I23" t="str">
        <f>IFERROR(VLOOKUP(C23,'BD Total'!$A$1:$G$506,7,0),"")</f>
        <v>Si</v>
      </c>
    </row>
    <row r="24" spans="2:10" x14ac:dyDescent="0.3">
      <c r="B24" s="1" t="s">
        <v>78</v>
      </c>
      <c r="C24" s="1" t="s">
        <v>114</v>
      </c>
      <c r="D24" s="13" t="str">
        <f>IFERROR(VLOOKUP(C24,'BD Total'!$A$1:$H$506,3,0),"")</f>
        <v>Unidad</v>
      </c>
      <c r="E24" s="13">
        <v>3</v>
      </c>
      <c r="F24" s="14">
        <f>IFERROR(VLOOKUP(C24,'BD Total'!$A$1:$H$506,4,0),"")</f>
        <v>159000</v>
      </c>
      <c r="G24" s="54">
        <f t="shared" si="0"/>
        <v>477000</v>
      </c>
      <c r="H24" t="str">
        <f>IFERROR(VLOOKUP(C24,'BD Total'!$A$1:$G$506,6,0),"")</f>
        <v>Si</v>
      </c>
      <c r="I24" t="str">
        <f>IFERROR(VLOOKUP(C24,'BD Total'!$A$1:$G$506,7,0),"")</f>
        <v>Si</v>
      </c>
    </row>
    <row r="25" spans="2:10" x14ac:dyDescent="0.3">
      <c r="B25" s="1" t="s">
        <v>78</v>
      </c>
      <c r="C25" s="1" t="s">
        <v>551</v>
      </c>
      <c r="D25" s="13" t="str">
        <f>IFERROR(VLOOKUP(C25,'BD Total'!$A$1:$H$506,3,0),"")</f>
        <v>Unidad</v>
      </c>
      <c r="E25" s="13">
        <v>21</v>
      </c>
      <c r="F25" s="14">
        <f>IFERROR(VLOOKUP(C25,'BD Total'!$A$1:$H$506,4,0),"")</f>
        <v>11336</v>
      </c>
      <c r="G25" s="54">
        <f t="shared" si="0"/>
        <v>238056</v>
      </c>
      <c r="H25" t="str">
        <f>IFERROR(VLOOKUP(C25,'BD Total'!$A$1:$G$506,6,0),"")</f>
        <v>Si</v>
      </c>
      <c r="I25" t="str">
        <f>IFERROR(VLOOKUP(C25,'BD Total'!$A$1:$G$506,7,0),"")</f>
        <v>Si</v>
      </c>
    </row>
    <row r="26" spans="2:10" x14ac:dyDescent="0.3">
      <c r="B26" s="1" t="s">
        <v>78</v>
      </c>
      <c r="C26" s="1" t="s">
        <v>128</v>
      </c>
      <c r="D26" s="13" t="str">
        <f>IFERROR(VLOOKUP(C26,'BD Total'!$A$1:$H$506,3,0),"")</f>
        <v>Unidad</v>
      </c>
      <c r="E26" s="13">
        <v>3</v>
      </c>
      <c r="F26" s="14">
        <f>IFERROR(VLOOKUP(C26,'BD Total'!$A$1:$H$506,4,0),"")</f>
        <v>160000</v>
      </c>
      <c r="G26" s="54">
        <f t="shared" si="0"/>
        <v>480000</v>
      </c>
      <c r="H26" t="str">
        <f>IFERROR(VLOOKUP(C26,'BD Total'!$A$1:$G$506,6,0),"")</f>
        <v>Si</v>
      </c>
      <c r="I26" t="str">
        <f>IFERROR(VLOOKUP(C26,'BD Total'!$A$1:$G$506,7,0),"")</f>
        <v>Si</v>
      </c>
    </row>
    <row r="27" spans="2:10" x14ac:dyDescent="0.3">
      <c r="B27" s="1" t="s">
        <v>78</v>
      </c>
      <c r="C27" s="1" t="s">
        <v>101</v>
      </c>
      <c r="D27" s="13" t="str">
        <f>IFERROR(VLOOKUP(C27,'BD Total'!$A$1:$H$506,3,0),"")</f>
        <v>Unidad</v>
      </c>
      <c r="E27" s="13">
        <v>3</v>
      </c>
      <c r="F27" s="14">
        <f>IFERROR(VLOOKUP(C27,'BD Total'!$A$1:$H$506,4,0),"")</f>
        <v>137000</v>
      </c>
      <c r="G27" s="54">
        <f t="shared" si="0"/>
        <v>411000</v>
      </c>
      <c r="H27" t="str">
        <f>IFERROR(VLOOKUP(C27,'BD Total'!$A$1:$G$506,6,0),"")</f>
        <v>Si</v>
      </c>
      <c r="I27" t="str">
        <f>IFERROR(VLOOKUP(C27,'BD Total'!$A$1:$G$506,7,0),"")</f>
        <v>Si</v>
      </c>
    </row>
    <row r="28" spans="2:10" x14ac:dyDescent="0.3">
      <c r="B28" s="1" t="s">
        <v>78</v>
      </c>
      <c r="C28" s="1" t="s">
        <v>77</v>
      </c>
      <c r="D28" s="13" t="str">
        <f>IFERROR(VLOOKUP(C28,'BD Total'!$A$1:$H$506,3,0),"")</f>
        <v>Unidad</v>
      </c>
      <c r="E28" s="13">
        <v>6</v>
      </c>
      <c r="F28" s="14">
        <f>IFERROR(VLOOKUP(C28,'BD Total'!$A$1:$H$506,4,0),"")</f>
        <v>4700</v>
      </c>
      <c r="G28" s="54">
        <f t="shared" si="0"/>
        <v>28200</v>
      </c>
      <c r="H28" t="str">
        <f>IFERROR(VLOOKUP(C28,'BD Total'!$A$1:$G$506,6,0),"")</f>
        <v>Si</v>
      </c>
      <c r="I28" t="str">
        <f>IFERROR(VLOOKUP(C28,'BD Total'!$A$1:$G$506,7,0),"")</f>
        <v>Si</v>
      </c>
    </row>
    <row r="29" spans="2:10" x14ac:dyDescent="0.3">
      <c r="B29" s="1" t="s">
        <v>78</v>
      </c>
      <c r="C29" s="1" t="s">
        <v>82</v>
      </c>
      <c r="D29" s="13" t="str">
        <f>IFERROR(VLOOKUP(C29,'BD Total'!$A$1:$H$506,3,0),"")</f>
        <v>Unidad</v>
      </c>
      <c r="E29" s="13">
        <v>3</v>
      </c>
      <c r="F29" s="14">
        <f>IFERROR(VLOOKUP(C29,'BD Total'!$A$1:$H$506,4,0),"")</f>
        <v>47000</v>
      </c>
      <c r="G29" s="54">
        <f t="shared" si="0"/>
        <v>141000</v>
      </c>
      <c r="H29" t="str">
        <f>IFERROR(VLOOKUP(C29,'BD Total'!$A$1:$G$506,6,0),"")</f>
        <v>Si</v>
      </c>
      <c r="I29" t="str">
        <f>IFERROR(VLOOKUP(C29,'BD Total'!$A$1:$G$506,7,0),"")</f>
        <v>Si</v>
      </c>
    </row>
    <row r="30" spans="2:10" x14ac:dyDescent="0.3">
      <c r="B30" s="1" t="s">
        <v>78</v>
      </c>
      <c r="C30" s="1" t="s">
        <v>88</v>
      </c>
      <c r="D30" s="13" t="str">
        <f>IFERROR(VLOOKUP(C30,'BD Total'!$A$1:$H$506,3,0),"")</f>
        <v>Unidad</v>
      </c>
      <c r="E30" s="13">
        <v>3</v>
      </c>
      <c r="F30" s="14">
        <f>IFERROR(VLOOKUP(C30,'BD Total'!$A$1:$H$506,4,0),"")</f>
        <v>50000</v>
      </c>
      <c r="G30" s="54">
        <f t="shared" si="0"/>
        <v>150000</v>
      </c>
      <c r="H30" t="str">
        <f>IFERROR(VLOOKUP(C30,'BD Total'!$A$1:$G$506,6,0),"")</f>
        <v>Si</v>
      </c>
      <c r="I30" t="str">
        <f>IFERROR(VLOOKUP(C30,'BD Total'!$A$1:$G$506,7,0),"")</f>
        <v>Si</v>
      </c>
    </row>
    <row r="31" spans="2:10" x14ac:dyDescent="0.3">
      <c r="B31" s="1" t="s">
        <v>78</v>
      </c>
      <c r="C31" s="1" t="s">
        <v>119</v>
      </c>
      <c r="D31" s="13" t="str">
        <f>IFERROR(VLOOKUP(C31,'BD Total'!$A$1:$H$506,3,0),"")</f>
        <v>Unidad</v>
      </c>
      <c r="E31" s="13">
        <v>3</v>
      </c>
      <c r="F31" s="14">
        <f>IFERROR(VLOOKUP(C31,'BD Total'!$A$1:$H$506,4,0),"")</f>
        <v>1500</v>
      </c>
      <c r="G31" s="54">
        <f t="shared" si="0"/>
        <v>4500</v>
      </c>
      <c r="H31" t="str">
        <f>IFERROR(VLOOKUP(C31,'BD Total'!$A$1:$G$506,6,0),"")</f>
        <v>No</v>
      </c>
      <c r="I31" t="str">
        <f>IFERROR(VLOOKUP(C31,'BD Total'!$A$1:$G$506,7,0),"")</f>
        <v>Si</v>
      </c>
    </row>
    <row r="32" spans="2:10" x14ac:dyDescent="0.3">
      <c r="B32" s="1" t="s">
        <v>9</v>
      </c>
      <c r="C32" s="1" t="s">
        <v>25</v>
      </c>
      <c r="D32" s="13" t="str">
        <f>IFERROR(VLOOKUP(C32,'BD Total'!$A$1:$H$506,3,0),"")</f>
        <v>Unidad</v>
      </c>
      <c r="E32" s="13">
        <v>1</v>
      </c>
      <c r="F32" s="14">
        <f>IFERROR(VLOOKUP(C32,'BD Total'!$A$1:$H$506,4,0),"")</f>
        <v>350000</v>
      </c>
      <c r="G32" s="54">
        <f t="shared" si="0"/>
        <v>350000</v>
      </c>
      <c r="H32" t="str">
        <f>IFERROR(VLOOKUP(C32,'BD Total'!$A$1:$G$506,6,0),"")</f>
        <v>Si</v>
      </c>
      <c r="I32" t="str">
        <f>IFERROR(VLOOKUP(C32,'BD Total'!$A$1:$G$506,7,0),"")</f>
        <v>Si</v>
      </c>
      <c r="J32" t="s">
        <v>835</v>
      </c>
    </row>
    <row r="33" spans="2:9" x14ac:dyDescent="0.3">
      <c r="B33" s="1" t="s">
        <v>416</v>
      </c>
      <c r="C33" s="1" t="s">
        <v>431</v>
      </c>
      <c r="D33" s="13" t="str">
        <f>IFERROR(VLOOKUP(C33,'BD Total'!$A$1:$H$506,3,0),"")</f>
        <v>Unidad</v>
      </c>
      <c r="E33" s="13">
        <v>1</v>
      </c>
      <c r="F33" s="14">
        <f>IFERROR(VLOOKUP(C33,'BD Total'!$A$1:$H$506,4,0),"")</f>
        <v>5000</v>
      </c>
      <c r="G33" s="54">
        <f t="shared" si="0"/>
        <v>5000</v>
      </c>
      <c r="H33" t="str">
        <f>IFERROR(VLOOKUP(C33,'BD Total'!$A$1:$G$506,6,0),"")</f>
        <v>No</v>
      </c>
      <c r="I33" t="str">
        <f>IFERROR(VLOOKUP(C33,'BD Total'!$A$1:$G$506,7,0),"")</f>
        <v>Si</v>
      </c>
    </row>
    <row r="34" spans="2:9" x14ac:dyDescent="0.3">
      <c r="B34" s="1" t="s">
        <v>78</v>
      </c>
      <c r="C34" s="1" t="s">
        <v>97</v>
      </c>
      <c r="D34" s="13" t="str">
        <f>IFERROR(VLOOKUP(C34,'BD Total'!$A$1:$H$506,3,0),"")</f>
        <v>Unidad</v>
      </c>
      <c r="E34" s="13">
        <v>3</v>
      </c>
      <c r="F34" s="14">
        <f>IFERROR(VLOOKUP(C34,'BD Total'!$A$1:$H$506,4,0),"")</f>
        <v>179048.82352941178</v>
      </c>
      <c r="G34" s="54">
        <f t="shared" si="0"/>
        <v>537146.4705882353</v>
      </c>
      <c r="H34" t="str">
        <f>IFERROR(VLOOKUP(C34,'BD Total'!$A$1:$G$506,6,0),"")</f>
        <v>Si</v>
      </c>
      <c r="I34" t="str">
        <f>IFERROR(VLOOKUP(C34,'BD Total'!$A$1:$G$506,7,0),"")</f>
        <v>Si</v>
      </c>
    </row>
    <row r="35" spans="2:9" x14ac:dyDescent="0.3">
      <c r="B35" s="1" t="s">
        <v>133</v>
      </c>
      <c r="C35" s="1" t="s">
        <v>156</v>
      </c>
      <c r="D35" s="13" t="str">
        <f>IFERROR(VLOOKUP(C35,'BD Total'!$A$1:$H$506,3,0),"")</f>
        <v>Unidad</v>
      </c>
      <c r="E35" s="13">
        <v>1</v>
      </c>
      <c r="F35" s="14">
        <f>IFERROR(VLOOKUP(C35,'BD Total'!$A$1:$H$506,4,0),"")</f>
        <v>82345</v>
      </c>
      <c r="G35" s="54">
        <f t="shared" si="0"/>
        <v>82345</v>
      </c>
      <c r="H35" t="str">
        <f>IFERROR(VLOOKUP(C35,'BD Total'!$A$1:$G$506,6,0),"")</f>
        <v>Si</v>
      </c>
      <c r="I35" t="str">
        <f>IFERROR(VLOOKUP(C35,'BD Total'!$A$1:$G$506,7,0),"")</f>
        <v>Si</v>
      </c>
    </row>
    <row r="36" spans="2:9" x14ac:dyDescent="0.3">
      <c r="B36" s="1" t="s">
        <v>133</v>
      </c>
      <c r="C36" s="1" t="s">
        <v>174</v>
      </c>
      <c r="D36" s="13" t="str">
        <f>IFERROR(VLOOKUP(C36,'BD Total'!$A$1:$H$506,3,0),"")</f>
        <v>Unidad</v>
      </c>
      <c r="E36" s="13">
        <v>1</v>
      </c>
      <c r="F36" s="14">
        <f>IFERROR(VLOOKUP(C36,'BD Total'!$A$1:$H$506,4,0),"")</f>
        <v>2070000</v>
      </c>
      <c r="G36" s="54">
        <f t="shared" si="0"/>
        <v>2070000</v>
      </c>
      <c r="H36" t="str">
        <f>IFERROR(VLOOKUP(C36,'BD Total'!$A$1:$G$506,6,0),"")</f>
        <v>Si</v>
      </c>
      <c r="I36" t="str">
        <f>IFERROR(VLOOKUP(C36,'BD Total'!$A$1:$G$506,7,0),"")</f>
        <v>Si</v>
      </c>
    </row>
    <row r="37" spans="2:9" x14ac:dyDescent="0.3">
      <c r="B37" s="1" t="s">
        <v>133</v>
      </c>
      <c r="C37" s="1" t="s">
        <v>160</v>
      </c>
      <c r="D37" s="13" t="str">
        <f>IFERROR(VLOOKUP(C37,'BD Total'!$A$1:$H$506,3,0),"")</f>
        <v>Unidad</v>
      </c>
      <c r="E37" s="13">
        <v>1</v>
      </c>
      <c r="F37" s="14">
        <f>IFERROR(VLOOKUP(C37,'BD Total'!$A$1:$H$506,4,0),"")</f>
        <v>22500</v>
      </c>
      <c r="G37" s="54">
        <f t="shared" si="0"/>
        <v>22500</v>
      </c>
      <c r="H37" t="str">
        <f>IFERROR(VLOOKUP(C37,'BD Total'!$A$1:$G$506,6,0),"")</f>
        <v>No</v>
      </c>
      <c r="I37" t="str">
        <f>IFERROR(VLOOKUP(C37,'BD Total'!$A$1:$G$506,7,0),"")</f>
        <v>Si</v>
      </c>
    </row>
    <row r="38" spans="2:9" x14ac:dyDescent="0.3">
      <c r="B38" s="1" t="s">
        <v>188</v>
      </c>
      <c r="C38" s="1" t="s">
        <v>190</v>
      </c>
      <c r="D38" s="13" t="str">
        <f>IFERROR(VLOOKUP(C38,'BD Total'!$A$1:$H$506,3,0),"")</f>
        <v>Unidad</v>
      </c>
      <c r="E38" s="13">
        <v>3</v>
      </c>
      <c r="F38" s="14">
        <f>IFERROR(VLOOKUP(C38,'BD Total'!$A$1:$H$506,4,0),"")</f>
        <v>1950000</v>
      </c>
      <c r="G38" s="54">
        <f t="shared" si="0"/>
        <v>5850000</v>
      </c>
      <c r="H38" t="str">
        <f>IFERROR(VLOOKUP(C38,'BD Total'!$A$1:$G$506,6,0),"")</f>
        <v>Si</v>
      </c>
      <c r="I38" t="str">
        <f>IFERROR(VLOOKUP(C38,'BD Total'!$A$1:$G$506,7,0),"")</f>
        <v>No</v>
      </c>
    </row>
    <row r="39" spans="2:9" x14ac:dyDescent="0.3">
      <c r="B39" s="1" t="s">
        <v>199</v>
      </c>
      <c r="C39" s="1" t="s">
        <v>202</v>
      </c>
      <c r="D39" s="13" t="str">
        <f>IFERROR(VLOOKUP(C39,'BD Total'!$A$1:$H$506,3,0),"")</f>
        <v>Unidad</v>
      </c>
      <c r="E39" s="13">
        <v>1</v>
      </c>
      <c r="F39" s="14">
        <f>IFERROR(VLOOKUP(C39,'BD Total'!$A$1:$H$506,4,0),"")</f>
        <v>3500</v>
      </c>
      <c r="G39" s="54">
        <f t="shared" si="0"/>
        <v>3500</v>
      </c>
      <c r="H39" t="str">
        <f>IFERROR(VLOOKUP(C39,'BD Total'!$A$1:$G$506,6,0),"")</f>
        <v>No</v>
      </c>
      <c r="I39" t="str">
        <f>IFERROR(VLOOKUP(C39,'BD Total'!$A$1:$G$506,7,0),"")</f>
        <v>Si</v>
      </c>
    </row>
    <row r="40" spans="2:9" x14ac:dyDescent="0.3">
      <c r="B40" s="1" t="s">
        <v>199</v>
      </c>
      <c r="C40" s="1" t="s">
        <v>203</v>
      </c>
      <c r="D40" s="13" t="str">
        <f>IFERROR(VLOOKUP(C40,'BD Total'!$A$1:$H$506,3,0),"")</f>
        <v>Unidad</v>
      </c>
      <c r="E40" s="13">
        <v>3</v>
      </c>
      <c r="F40" s="14">
        <f>IFERROR(VLOOKUP(C40,'BD Total'!$A$1:$H$506,4,0),"")</f>
        <v>3500</v>
      </c>
      <c r="G40" s="54">
        <f t="shared" si="0"/>
        <v>10500</v>
      </c>
      <c r="H40" t="str">
        <f>IFERROR(VLOOKUP(C40,'BD Total'!$A$1:$G$506,6,0),"")</f>
        <v>No</v>
      </c>
      <c r="I40" t="str">
        <f>IFERROR(VLOOKUP(C40,'BD Total'!$A$1:$G$506,7,0),"")</f>
        <v>Si</v>
      </c>
    </row>
    <row r="41" spans="2:9" x14ac:dyDescent="0.3">
      <c r="B41" s="1" t="s">
        <v>199</v>
      </c>
      <c r="C41" s="1" t="s">
        <v>204</v>
      </c>
      <c r="D41" s="13" t="str">
        <f>IFERROR(VLOOKUP(C41,'BD Total'!$A$1:$H$506,3,0),"")</f>
        <v>Unidad</v>
      </c>
      <c r="E41" s="13">
        <v>1</v>
      </c>
      <c r="F41" s="14">
        <f>IFERROR(VLOOKUP(C41,'BD Total'!$A$1:$H$506,4,0),"")</f>
        <v>9900</v>
      </c>
      <c r="G41" s="54">
        <f t="shared" si="0"/>
        <v>9900</v>
      </c>
      <c r="H41" t="str">
        <f>IFERROR(VLOOKUP(C41,'BD Total'!$A$1:$G$506,6,0),"")</f>
        <v>No</v>
      </c>
      <c r="I41" t="str">
        <f>IFERROR(VLOOKUP(C41,'BD Total'!$A$1:$G$506,7,0),"")</f>
        <v>Si</v>
      </c>
    </row>
    <row r="42" spans="2:9" x14ac:dyDescent="0.3">
      <c r="B42" s="1" t="s">
        <v>199</v>
      </c>
      <c r="C42" s="1" t="s">
        <v>209</v>
      </c>
      <c r="D42" s="13" t="str">
        <f>IFERROR(VLOOKUP(C42,'BD Total'!$A$1:$H$506,3,0),"")</f>
        <v>Unidad</v>
      </c>
      <c r="E42" s="13">
        <v>9</v>
      </c>
      <c r="F42" s="14">
        <f>IFERROR(VLOOKUP(C42,'BD Total'!$A$1:$H$506,4,0),"")</f>
        <v>13105</v>
      </c>
      <c r="G42" s="54">
        <f t="shared" si="0"/>
        <v>117945</v>
      </c>
      <c r="H42" t="str">
        <f>IFERROR(VLOOKUP(C42,'BD Total'!$A$1:$G$506,6,0),"")</f>
        <v>No</v>
      </c>
      <c r="I42" t="str">
        <f>IFERROR(VLOOKUP(C42,'BD Total'!$A$1:$G$506,7,0),"")</f>
        <v>Si</v>
      </c>
    </row>
    <row r="43" spans="2:9" x14ac:dyDescent="0.3">
      <c r="B43" s="1" t="s">
        <v>199</v>
      </c>
      <c r="C43" s="1" t="s">
        <v>211</v>
      </c>
      <c r="D43" s="13" t="str">
        <f>IFERROR(VLOOKUP(C43,'BD Total'!$A$1:$H$506,3,0),"")</f>
        <v>Unidad</v>
      </c>
      <c r="E43" s="13">
        <v>9</v>
      </c>
      <c r="F43" s="14">
        <f>IFERROR(VLOOKUP(C43,'BD Total'!$A$1:$H$506,4,0),"")</f>
        <v>17500</v>
      </c>
      <c r="G43" s="54">
        <f t="shared" si="0"/>
        <v>157500</v>
      </c>
      <c r="H43" t="str">
        <f>IFERROR(VLOOKUP(C43,'BD Total'!$A$1:$G$506,6,0),"")</f>
        <v>No</v>
      </c>
      <c r="I43" t="str">
        <f>IFERROR(VLOOKUP(C43,'BD Total'!$A$1:$G$506,7,0),"")</f>
        <v>Si</v>
      </c>
    </row>
    <row r="44" spans="2:9" x14ac:dyDescent="0.3">
      <c r="B44" s="1" t="s">
        <v>199</v>
      </c>
      <c r="C44" s="1" t="s">
        <v>215</v>
      </c>
      <c r="D44" s="13" t="str">
        <f>IFERROR(VLOOKUP(C44,'BD Total'!$A$1:$H$506,3,0),"")</f>
        <v>Unidad</v>
      </c>
      <c r="E44" s="13">
        <v>80</v>
      </c>
      <c r="F44" s="14">
        <f>IFERROR(VLOOKUP(C44,'BD Total'!$A$1:$H$506,4,0),"")</f>
        <v>800</v>
      </c>
      <c r="G44" s="54">
        <f t="shared" si="0"/>
        <v>64000</v>
      </c>
      <c r="H44" t="str">
        <f>IFERROR(VLOOKUP(C44,'BD Total'!$A$1:$G$506,6,0),"")</f>
        <v>No</v>
      </c>
      <c r="I44" t="str">
        <f>IFERROR(VLOOKUP(C44,'BD Total'!$A$1:$G$506,7,0),"")</f>
        <v>Si</v>
      </c>
    </row>
    <row r="45" spans="2:9" x14ac:dyDescent="0.3">
      <c r="B45" s="1" t="s">
        <v>199</v>
      </c>
      <c r="C45" s="1" t="s">
        <v>418</v>
      </c>
      <c r="D45" s="13" t="str">
        <f>IFERROR(VLOOKUP(C45,'BD Total'!$A$1:$H$506,3,0),"")</f>
        <v>Unidad</v>
      </c>
      <c r="E45" s="13">
        <v>30</v>
      </c>
      <c r="F45" s="14">
        <f>IFERROR(VLOOKUP(C45,'BD Total'!$A$1:$H$506,4,0),"")</f>
        <v>1000</v>
      </c>
      <c r="G45" s="54">
        <f t="shared" si="0"/>
        <v>30000</v>
      </c>
      <c r="H45" t="str">
        <f>IFERROR(VLOOKUP(C45,'BD Total'!$A$1:$G$506,6,0),"")</f>
        <v>No</v>
      </c>
      <c r="I45" t="str">
        <f>IFERROR(VLOOKUP(C45,'BD Total'!$A$1:$G$506,7,0),"")</f>
        <v>Si</v>
      </c>
    </row>
    <row r="46" spans="2:9" x14ac:dyDescent="0.3">
      <c r="B46" s="1" t="s">
        <v>199</v>
      </c>
      <c r="C46" s="1" t="s">
        <v>222</v>
      </c>
      <c r="D46" s="13" t="str">
        <f>IFERROR(VLOOKUP(C46,'BD Total'!$A$1:$H$506,3,0),"")</f>
        <v>Paquete</v>
      </c>
      <c r="E46" s="13">
        <v>240</v>
      </c>
      <c r="F46" s="14">
        <f>IFERROR(VLOOKUP(C46,'BD Total'!$A$1:$H$506,4,0),"")</f>
        <v>370</v>
      </c>
      <c r="G46" s="54">
        <f t="shared" si="0"/>
        <v>88800</v>
      </c>
      <c r="H46" t="str">
        <f>IFERROR(VLOOKUP(C46,'BD Total'!$A$1:$G$506,6,0),"")</f>
        <v>No</v>
      </c>
      <c r="I46" t="str">
        <f>IFERROR(VLOOKUP(C46,'BD Total'!$A$1:$G$506,7,0),"")</f>
        <v>Si</v>
      </c>
    </row>
    <row r="47" spans="2:9" x14ac:dyDescent="0.3">
      <c r="B47" s="1" t="s">
        <v>199</v>
      </c>
      <c r="C47" s="1" t="s">
        <v>223</v>
      </c>
      <c r="D47" s="13" t="str">
        <f>IFERROR(VLOOKUP(C47,'BD Total'!$A$1:$H$506,3,0),"")</f>
        <v>Unidad</v>
      </c>
      <c r="E47" s="13">
        <v>4</v>
      </c>
      <c r="F47" s="14">
        <f>IFERROR(VLOOKUP(C47,'BD Total'!$A$1:$H$506,4,0),"")</f>
        <v>2000</v>
      </c>
      <c r="G47" s="54">
        <f t="shared" si="0"/>
        <v>8000</v>
      </c>
      <c r="H47" t="str">
        <f>IFERROR(VLOOKUP(C47,'BD Total'!$A$1:$G$506,6,0),"")</f>
        <v>No</v>
      </c>
      <c r="I47" t="str">
        <f>IFERROR(VLOOKUP(C47,'BD Total'!$A$1:$G$506,7,0),"")</f>
        <v>Si</v>
      </c>
    </row>
    <row r="48" spans="2:9" x14ac:dyDescent="0.3">
      <c r="B48" s="1" t="s">
        <v>199</v>
      </c>
      <c r="C48" s="1" t="s">
        <v>226</v>
      </c>
      <c r="D48" s="13" t="str">
        <f>IFERROR(VLOOKUP(C48,'BD Total'!$A$1:$H$506,3,0),"")</f>
        <v>Unidad</v>
      </c>
      <c r="E48" s="13">
        <v>26</v>
      </c>
      <c r="F48" s="14">
        <f>IFERROR(VLOOKUP(C48,'BD Total'!$A$1:$H$506,4,0),"")</f>
        <v>3000</v>
      </c>
      <c r="G48" s="54">
        <f t="shared" si="0"/>
        <v>78000</v>
      </c>
      <c r="H48" t="str">
        <f>IFERROR(VLOOKUP(C48,'BD Total'!$A$1:$G$506,6,0),"")</f>
        <v>No</v>
      </c>
      <c r="I48" t="str">
        <f>IFERROR(VLOOKUP(C48,'BD Total'!$A$1:$G$506,7,0),"")</f>
        <v>Si</v>
      </c>
    </row>
    <row r="49" spans="2:9" x14ac:dyDescent="0.3">
      <c r="B49" s="1" t="s">
        <v>199</v>
      </c>
      <c r="C49" s="1" t="s">
        <v>227</v>
      </c>
      <c r="D49" s="13" t="str">
        <f>IFERROR(VLOOKUP(C49,'BD Total'!$A$1:$H$506,3,0),"")</f>
        <v>Unidad</v>
      </c>
      <c r="E49" s="13">
        <v>2</v>
      </c>
      <c r="F49" s="14">
        <f>IFERROR(VLOOKUP(C49,'BD Total'!$A$1:$H$506,4,0),"")</f>
        <v>11000</v>
      </c>
      <c r="G49" s="54">
        <f t="shared" si="0"/>
        <v>22000</v>
      </c>
      <c r="H49" t="str">
        <f>IFERROR(VLOOKUP(C49,'BD Total'!$A$1:$G$506,6,0),"")</f>
        <v>No</v>
      </c>
      <c r="I49" t="str">
        <f>IFERROR(VLOOKUP(C49,'BD Total'!$A$1:$G$506,7,0),"")</f>
        <v>Si</v>
      </c>
    </row>
    <row r="50" spans="2:9" x14ac:dyDescent="0.3">
      <c r="B50" s="1" t="s">
        <v>199</v>
      </c>
      <c r="C50" s="1" t="s">
        <v>230</v>
      </c>
      <c r="D50" s="13" t="str">
        <f>IFERROR(VLOOKUP(C50,'BD Total'!$A$1:$H$506,3,0),"")</f>
        <v>Unidad</v>
      </c>
      <c r="E50" s="13">
        <v>1</v>
      </c>
      <c r="F50" s="14">
        <f>IFERROR(VLOOKUP(C50,'BD Total'!$A$1:$H$506,4,0),"")</f>
        <v>5000</v>
      </c>
      <c r="G50" s="54">
        <f t="shared" si="0"/>
        <v>5000</v>
      </c>
      <c r="H50" t="str">
        <f>IFERROR(VLOOKUP(C50,'BD Total'!$A$1:$G$506,6,0),"")</f>
        <v>No</v>
      </c>
      <c r="I50" t="str">
        <f>IFERROR(VLOOKUP(C50,'BD Total'!$A$1:$G$506,7,0),"")</f>
        <v>Si</v>
      </c>
    </row>
    <row r="51" spans="2:9" x14ac:dyDescent="0.3">
      <c r="B51" s="1" t="s">
        <v>199</v>
      </c>
      <c r="C51" s="1" t="s">
        <v>231</v>
      </c>
      <c r="D51" s="13" t="str">
        <f>IFERROR(VLOOKUP(C51,'BD Total'!$A$1:$H$506,3,0),"")</f>
        <v>Unidad</v>
      </c>
      <c r="E51" s="13">
        <v>1</v>
      </c>
      <c r="F51" s="14">
        <f>IFERROR(VLOOKUP(C51,'BD Total'!$A$1:$H$506,4,0),"")</f>
        <v>6000</v>
      </c>
      <c r="G51" s="54">
        <f t="shared" si="0"/>
        <v>6000</v>
      </c>
      <c r="H51" t="str">
        <f>IFERROR(VLOOKUP(C51,'BD Total'!$A$1:$G$506,6,0),"")</f>
        <v>No</v>
      </c>
      <c r="I51" t="str">
        <f>IFERROR(VLOOKUP(C51,'BD Total'!$A$1:$G$506,7,0),"")</f>
        <v>Si</v>
      </c>
    </row>
    <row r="52" spans="2:9" x14ac:dyDescent="0.3">
      <c r="B52" s="1" t="s">
        <v>199</v>
      </c>
      <c r="C52" s="1" t="s">
        <v>234</v>
      </c>
      <c r="D52" s="13" t="str">
        <f>IFERROR(VLOOKUP(C52,'BD Total'!$A$1:$H$506,3,0),"")</f>
        <v>Unidad</v>
      </c>
      <c r="E52" s="13">
        <v>8</v>
      </c>
      <c r="F52" s="14">
        <f>IFERROR(VLOOKUP(C52,'BD Total'!$A$1:$H$506,4,0),"")</f>
        <v>2000</v>
      </c>
      <c r="G52" s="54">
        <f t="shared" si="0"/>
        <v>16000</v>
      </c>
      <c r="H52" t="str">
        <f>IFERROR(VLOOKUP(C52,'BD Total'!$A$1:$G$506,6,0),"")</f>
        <v>No</v>
      </c>
      <c r="I52" t="str">
        <f>IFERROR(VLOOKUP(C52,'BD Total'!$A$1:$G$506,7,0),"")</f>
        <v>Si</v>
      </c>
    </row>
    <row r="53" spans="2:9" x14ac:dyDescent="0.3">
      <c r="B53" s="1" t="s">
        <v>199</v>
      </c>
      <c r="C53" s="1" t="s">
        <v>289</v>
      </c>
      <c r="D53" s="13" t="str">
        <f>IFERROR(VLOOKUP(C53,'BD Total'!$A$1:$H$506,3,0),"")</f>
        <v>Unidad</v>
      </c>
      <c r="E53" s="13">
        <v>1</v>
      </c>
      <c r="F53" s="14">
        <f>IFERROR(VLOOKUP(C53,'BD Total'!$A$1:$H$506,4,0),"")</f>
        <v>3500</v>
      </c>
      <c r="G53" s="54">
        <f t="shared" si="0"/>
        <v>3500</v>
      </c>
      <c r="H53" t="str">
        <f>IFERROR(VLOOKUP(C53,'BD Total'!$A$1:$G$506,6,0),"")</f>
        <v>No</v>
      </c>
      <c r="I53" t="str">
        <f>IFERROR(VLOOKUP(C53,'BD Total'!$A$1:$G$506,7,0),"")</f>
        <v>Si</v>
      </c>
    </row>
    <row r="54" spans="2:9" x14ac:dyDescent="0.3">
      <c r="B54" s="1" t="s">
        <v>199</v>
      </c>
      <c r="C54" s="1" t="s">
        <v>236</v>
      </c>
      <c r="D54" s="13" t="str">
        <f>IFERROR(VLOOKUP(C54,'BD Total'!$A$1:$H$506,3,0),"")</f>
        <v>Unidad</v>
      </c>
      <c r="E54" s="13">
        <v>1</v>
      </c>
      <c r="F54" s="14">
        <f>IFERROR(VLOOKUP(C54,'BD Total'!$A$1:$H$506,4,0),"")</f>
        <v>10084</v>
      </c>
      <c r="G54" s="54">
        <f t="shared" si="0"/>
        <v>10084</v>
      </c>
      <c r="H54" t="str">
        <f>IFERROR(VLOOKUP(C54,'BD Total'!$A$1:$G$506,6,0),"")</f>
        <v>No</v>
      </c>
      <c r="I54" t="str">
        <f>IFERROR(VLOOKUP(C54,'BD Total'!$A$1:$G$506,7,0),"")</f>
        <v>Si</v>
      </c>
    </row>
    <row r="55" spans="2:9" x14ac:dyDescent="0.3">
      <c r="B55" s="1" t="s">
        <v>199</v>
      </c>
      <c r="C55" s="1" t="s">
        <v>239</v>
      </c>
      <c r="D55" s="13" t="str">
        <f>IFERROR(VLOOKUP(C55,'BD Total'!$A$1:$H$506,3,0),"")</f>
        <v>Unidad</v>
      </c>
      <c r="E55" s="13">
        <v>1</v>
      </c>
      <c r="F55" s="14">
        <f>IFERROR(VLOOKUP(C55,'BD Total'!$A$1:$H$506,4,0),"")</f>
        <v>13500</v>
      </c>
      <c r="G55" s="54">
        <f t="shared" si="0"/>
        <v>13500</v>
      </c>
      <c r="H55" t="str">
        <f>IFERROR(VLOOKUP(C55,'BD Total'!$A$1:$G$506,6,0),"")</f>
        <v>No</v>
      </c>
      <c r="I55" t="str">
        <f>IFERROR(VLOOKUP(C55,'BD Total'!$A$1:$G$506,7,0),"")</f>
        <v>Si</v>
      </c>
    </row>
    <row r="56" spans="2:9" x14ac:dyDescent="0.3">
      <c r="B56" s="1" t="s">
        <v>199</v>
      </c>
      <c r="C56" s="1" t="s">
        <v>241</v>
      </c>
      <c r="D56" s="13" t="str">
        <f>IFERROR(VLOOKUP(C56,'BD Total'!$A$1:$H$506,3,0),"")</f>
        <v>Unidad</v>
      </c>
      <c r="E56" s="13">
        <v>7</v>
      </c>
      <c r="F56" s="14">
        <f>IFERROR(VLOOKUP(C56,'BD Total'!$A$1:$H$506,4,0),"")</f>
        <v>2000</v>
      </c>
      <c r="G56" s="54">
        <f t="shared" si="0"/>
        <v>14000</v>
      </c>
      <c r="H56" t="str">
        <f>IFERROR(VLOOKUP(C56,'BD Total'!$A$1:$G$506,6,0),"")</f>
        <v>No</v>
      </c>
      <c r="I56" t="str">
        <f>IFERROR(VLOOKUP(C56,'BD Total'!$A$1:$G$506,7,0),"")</f>
        <v>Si</v>
      </c>
    </row>
    <row r="57" spans="2:9" x14ac:dyDescent="0.3">
      <c r="B57" s="1" t="s">
        <v>199</v>
      </c>
      <c r="C57" s="1" t="s">
        <v>246</v>
      </c>
      <c r="D57" s="13" t="str">
        <f>IFERROR(VLOOKUP(C57,'BD Total'!$A$1:$H$506,3,0),"")</f>
        <v>Unidad</v>
      </c>
      <c r="E57" s="13">
        <v>2</v>
      </c>
      <c r="F57" s="14">
        <f>IFERROR(VLOOKUP(C57,'BD Total'!$A$1:$H$506,4,0),"")</f>
        <v>2990</v>
      </c>
      <c r="G57" s="54">
        <f t="shared" si="0"/>
        <v>5980</v>
      </c>
      <c r="H57" t="str">
        <f>IFERROR(VLOOKUP(C57,'BD Total'!$A$1:$G$506,6,0),"")</f>
        <v>No</v>
      </c>
      <c r="I57" t="str">
        <f>IFERROR(VLOOKUP(C57,'BD Total'!$A$1:$G$506,7,0),"")</f>
        <v>Si</v>
      </c>
    </row>
    <row r="58" spans="2:9" x14ac:dyDescent="0.3">
      <c r="B58" s="1" t="s">
        <v>199</v>
      </c>
      <c r="C58" s="1" t="s">
        <v>245</v>
      </c>
      <c r="D58" s="13" t="str">
        <f>IFERROR(VLOOKUP(C58,'BD Total'!$A$1:$H$506,3,0),"")</f>
        <v>Unidad</v>
      </c>
      <c r="E58" s="13">
        <v>75</v>
      </c>
      <c r="F58" s="14">
        <f>IFERROR(VLOOKUP(C58,'BD Total'!$A$1:$H$506,4,0),"")</f>
        <v>680</v>
      </c>
      <c r="G58" s="54">
        <f t="shared" si="0"/>
        <v>51000</v>
      </c>
      <c r="H58" t="str">
        <f>IFERROR(VLOOKUP(C58,'BD Total'!$A$1:$G$506,6,0),"")</f>
        <v>No</v>
      </c>
      <c r="I58" t="str">
        <f>IFERROR(VLOOKUP(C58,'BD Total'!$A$1:$G$506,7,0),"")</f>
        <v>Si</v>
      </c>
    </row>
    <row r="59" spans="2:9" x14ac:dyDescent="0.3">
      <c r="B59" s="1" t="s">
        <v>199</v>
      </c>
      <c r="C59" s="1" t="s">
        <v>198</v>
      </c>
      <c r="D59" s="13" t="str">
        <f>IFERROR(VLOOKUP(C59,'BD Total'!$A$1:$H$506,3,0),"")</f>
        <v>Unidad</v>
      </c>
      <c r="E59" s="13">
        <v>250</v>
      </c>
      <c r="F59" s="14">
        <f>IFERROR(VLOOKUP(C59,'BD Total'!$A$1:$H$506,4,0),"")</f>
        <v>112</v>
      </c>
      <c r="G59" s="54">
        <f t="shared" si="0"/>
        <v>28000</v>
      </c>
      <c r="H59" t="str">
        <f>IFERROR(VLOOKUP(C59,'BD Total'!$A$1:$G$506,6,0),"")</f>
        <v>No</v>
      </c>
      <c r="I59" t="str">
        <f>IFERROR(VLOOKUP(C59,'BD Total'!$A$1:$G$506,7,0),"")</f>
        <v>Si</v>
      </c>
    </row>
    <row r="60" spans="2:9" x14ac:dyDescent="0.3">
      <c r="B60" s="1" t="s">
        <v>199</v>
      </c>
      <c r="C60" s="1" t="s">
        <v>279</v>
      </c>
      <c r="D60" s="13" t="str">
        <f>IFERROR(VLOOKUP(C60,'BD Total'!$A$1:$H$506,3,0),"")</f>
        <v>Unidad</v>
      </c>
      <c r="E60" s="13">
        <v>12</v>
      </c>
      <c r="F60" s="14">
        <f>IFERROR(VLOOKUP(C60,'BD Total'!$A$1:$H$506,4,0),"")</f>
        <v>9235.2941176470595</v>
      </c>
      <c r="G60" s="54">
        <f t="shared" si="0"/>
        <v>110823.52941176471</v>
      </c>
      <c r="H60" t="str">
        <f>IFERROR(VLOOKUP(C60,'BD Total'!$A$1:$G$506,6,0),"")</f>
        <v>Si</v>
      </c>
      <c r="I60" t="str">
        <f>IFERROR(VLOOKUP(C60,'BD Total'!$A$1:$G$506,7,0),"")</f>
        <v>Si</v>
      </c>
    </row>
    <row r="61" spans="2:9" x14ac:dyDescent="0.3">
      <c r="B61" s="1" t="s">
        <v>199</v>
      </c>
      <c r="C61" s="1" t="s">
        <v>283</v>
      </c>
      <c r="D61" s="13" t="str">
        <f>IFERROR(VLOOKUP(C61,'BD Total'!$A$1:$H$506,3,0),"")</f>
        <v>Unidad</v>
      </c>
      <c r="E61" s="13">
        <v>19</v>
      </c>
      <c r="F61" s="14">
        <f>IFERROR(VLOOKUP(C61,'BD Total'!$A$1:$H$506,4,0),"")</f>
        <v>5000</v>
      </c>
      <c r="G61" s="54">
        <f t="shared" si="0"/>
        <v>95000</v>
      </c>
      <c r="H61" t="str">
        <f>IFERROR(VLOOKUP(C61,'BD Total'!$A$1:$G$506,6,0),"")</f>
        <v>Si</v>
      </c>
      <c r="I61" t="str">
        <f>IFERROR(VLOOKUP(C61,'BD Total'!$A$1:$G$506,7,0),"")</f>
        <v>Si</v>
      </c>
    </row>
    <row r="62" spans="2:9" x14ac:dyDescent="0.3">
      <c r="B62" s="1" t="s">
        <v>199</v>
      </c>
      <c r="C62" s="1" t="s">
        <v>231</v>
      </c>
      <c r="D62" s="13" t="str">
        <f>IFERROR(VLOOKUP(C62,'BD Total'!$A$1:$H$506,3,0),"")</f>
        <v>Unidad</v>
      </c>
      <c r="E62" s="13">
        <v>1</v>
      </c>
      <c r="F62" s="14">
        <f>IFERROR(VLOOKUP(C62,'BD Total'!$A$1:$H$506,4,0),"")</f>
        <v>6000</v>
      </c>
      <c r="G62" s="54">
        <f t="shared" si="0"/>
        <v>6000</v>
      </c>
      <c r="H62" t="str">
        <f>IFERROR(VLOOKUP(C62,'BD Total'!$A$1:$G$506,6,0),"")</f>
        <v>No</v>
      </c>
      <c r="I62" t="str">
        <f>IFERROR(VLOOKUP(C62,'BD Total'!$A$1:$G$506,7,0),"")</f>
        <v>Si</v>
      </c>
    </row>
    <row r="63" spans="2:9" x14ac:dyDescent="0.3">
      <c r="B63" s="1" t="s">
        <v>199</v>
      </c>
      <c r="C63" s="1" t="s">
        <v>224</v>
      </c>
      <c r="D63" s="13" t="str">
        <f>IFERROR(VLOOKUP(C63,'BD Total'!$A$1:$H$506,3,0),"")</f>
        <v>Unidad</v>
      </c>
      <c r="E63" s="13">
        <v>3</v>
      </c>
      <c r="F63" s="14">
        <f>IFERROR(VLOOKUP(C63,'BD Total'!$A$1:$H$506,4,0),"")</f>
        <v>2460</v>
      </c>
      <c r="G63" s="54">
        <f t="shared" si="0"/>
        <v>7380</v>
      </c>
      <c r="H63" t="str">
        <f>IFERROR(VLOOKUP(C63,'BD Total'!$A$1:$G$506,6,0),"")</f>
        <v>No</v>
      </c>
      <c r="I63" t="str">
        <f>IFERROR(VLOOKUP(C63,'BD Total'!$A$1:$G$506,7,0),"")</f>
        <v>Si</v>
      </c>
    </row>
    <row r="64" spans="2:9" x14ac:dyDescent="0.3">
      <c r="B64" s="1" t="s">
        <v>199</v>
      </c>
      <c r="C64" s="1" t="s">
        <v>216</v>
      </c>
      <c r="D64" s="13" t="str">
        <f>IFERROR(VLOOKUP(C64,'BD Total'!$A$1:$H$506,3,0),"")</f>
        <v>Unidad</v>
      </c>
      <c r="E64" s="13">
        <v>2</v>
      </c>
      <c r="F64" s="14">
        <f>IFERROR(VLOOKUP(C64,'BD Total'!$A$1:$H$506,4,0),"")</f>
        <v>1500</v>
      </c>
      <c r="G64" s="54">
        <f t="shared" si="0"/>
        <v>3000</v>
      </c>
      <c r="H64" t="str">
        <f>IFERROR(VLOOKUP(C64,'BD Total'!$A$1:$G$506,6,0),"")</f>
        <v>Si</v>
      </c>
      <c r="I64" t="str">
        <f>IFERROR(VLOOKUP(C64,'BD Total'!$A$1:$G$506,7,0),"")</f>
        <v>Si</v>
      </c>
    </row>
    <row r="65" spans="2:9" x14ac:dyDescent="0.3">
      <c r="B65" s="1" t="s">
        <v>199</v>
      </c>
      <c r="C65" s="1" t="s">
        <v>246</v>
      </c>
      <c r="D65" s="13" t="str">
        <f>IFERROR(VLOOKUP(C65,'BD Total'!$A$1:$H$506,3,0),"")</f>
        <v>Unidad</v>
      </c>
      <c r="E65" s="13">
        <v>3</v>
      </c>
      <c r="F65" s="14">
        <f>IFERROR(VLOOKUP(C65,'BD Total'!$A$1:$H$506,4,0),"")</f>
        <v>2990</v>
      </c>
      <c r="G65" s="54">
        <f t="shared" si="0"/>
        <v>8970</v>
      </c>
      <c r="H65" t="str">
        <f>IFERROR(VLOOKUP(C65,'BD Total'!$A$1:$G$506,6,0),"")</f>
        <v>No</v>
      </c>
      <c r="I65" t="str">
        <f>IFERROR(VLOOKUP(C65,'BD Total'!$A$1:$G$506,7,0),"")</f>
        <v>Si</v>
      </c>
    </row>
    <row r="66" spans="2:9" x14ac:dyDescent="0.3">
      <c r="B66" s="1" t="s">
        <v>249</v>
      </c>
      <c r="C66" s="1" t="s">
        <v>256</v>
      </c>
      <c r="D66" s="13" t="str">
        <f>IFERROR(VLOOKUP(C66,'BD Total'!$A$1:$H$506,3,0),"")</f>
        <v>Unidad</v>
      </c>
      <c r="E66" s="13">
        <v>97</v>
      </c>
      <c r="F66" s="14">
        <f>IFERROR(VLOOKUP(C66,'BD Total'!$A$1:$H$506,4,0),"")</f>
        <v>20160</v>
      </c>
      <c r="G66" s="54">
        <f t="shared" si="0"/>
        <v>1955520</v>
      </c>
      <c r="H66" t="str">
        <f>IFERROR(VLOOKUP(C66,'BD Total'!$A$1:$G$506,6,0),"")</f>
        <v>Si</v>
      </c>
      <c r="I66" t="str">
        <f>IFERROR(VLOOKUP(C66,'BD Total'!$A$1:$G$506,7,0),"")</f>
        <v>Si</v>
      </c>
    </row>
    <row r="67" spans="2:9" x14ac:dyDescent="0.3">
      <c r="B67" s="1" t="s">
        <v>249</v>
      </c>
      <c r="C67" s="1" t="s">
        <v>248</v>
      </c>
      <c r="D67" s="13" t="str">
        <f>IFERROR(VLOOKUP(C67,'BD Total'!$A$1:$H$506,3,0),"")</f>
        <v>Unidad</v>
      </c>
      <c r="E67" s="13">
        <v>20</v>
      </c>
      <c r="F67" s="14">
        <f>IFERROR(VLOOKUP(C67,'BD Total'!$A$1:$H$506,4,0),"")</f>
        <v>3900</v>
      </c>
      <c r="G67" s="54">
        <f t="shared" si="0"/>
        <v>78000</v>
      </c>
      <c r="H67" t="str">
        <f>IFERROR(VLOOKUP(C67,'BD Total'!$A$1:$G$506,6,0),"")</f>
        <v>Si</v>
      </c>
      <c r="I67" t="str">
        <f>IFERROR(VLOOKUP(C67,'BD Total'!$A$1:$G$506,7,0),"")</f>
        <v>Si</v>
      </c>
    </row>
    <row r="68" spans="2:9" x14ac:dyDescent="0.3">
      <c r="B68" s="1" t="s">
        <v>271</v>
      </c>
      <c r="C68" s="1" t="s">
        <v>272</v>
      </c>
      <c r="D68" s="13" t="str">
        <f>IFERROR(VLOOKUP(C68,'BD Total'!$A$1:$H$506,3,0),"")</f>
        <v>Unidad</v>
      </c>
      <c r="E68" s="13">
        <v>3</v>
      </c>
      <c r="F68" s="14">
        <f>IFERROR(VLOOKUP(C68,'BD Total'!$A$1:$H$506,4,0),"")</f>
        <v>15000</v>
      </c>
      <c r="G68" s="54">
        <f t="shared" si="0"/>
        <v>45000</v>
      </c>
      <c r="H68" t="str">
        <f>IFERROR(VLOOKUP(C68,'BD Total'!$A$1:$G$506,6,0),"")</f>
        <v>Si</v>
      </c>
      <c r="I68" t="str">
        <f>IFERROR(VLOOKUP(C68,'BD Total'!$A$1:$G$506,7,0),"")</f>
        <v>Si</v>
      </c>
    </row>
    <row r="69" spans="2:9" x14ac:dyDescent="0.3">
      <c r="B69" s="1" t="s">
        <v>297</v>
      </c>
      <c r="C69" s="1" t="s">
        <v>296</v>
      </c>
      <c r="D69" s="13" t="str">
        <f>IFERROR(VLOOKUP(C69,'BD Total'!$A$1:$H$506,3,0),"")</f>
        <v>Galon</v>
      </c>
      <c r="E69" s="13">
        <v>2</v>
      </c>
      <c r="F69" s="14">
        <f>IFERROR(VLOOKUP(C69,'BD Total'!$A$1:$H$506,4,0),"")</f>
        <v>25000</v>
      </c>
      <c r="G69" s="54">
        <f t="shared" si="0"/>
        <v>50000</v>
      </c>
      <c r="H69" t="str">
        <f>IFERROR(VLOOKUP(C69,'BD Total'!$A$1:$G$506,6,0),"")</f>
        <v>No</v>
      </c>
      <c r="I69" t="str">
        <f>IFERROR(VLOOKUP(C69,'BD Total'!$A$1:$G$506,7,0),"")</f>
        <v>Si</v>
      </c>
    </row>
    <row r="70" spans="2:9" x14ac:dyDescent="0.3">
      <c r="B70" s="1" t="s">
        <v>297</v>
      </c>
      <c r="C70" s="1" t="s">
        <v>309</v>
      </c>
      <c r="D70" s="13" t="str">
        <f>IFERROR(VLOOKUP(C70,'BD Total'!$A$1:$H$506,3,0),"")</f>
        <v>Tineta</v>
      </c>
      <c r="E70" s="13">
        <v>2</v>
      </c>
      <c r="F70" s="14">
        <f>IFERROR(VLOOKUP(C70,'BD Total'!$A$1:$H$506,4,0),"")</f>
        <v>84000</v>
      </c>
      <c r="G70" s="54">
        <f t="shared" si="0"/>
        <v>168000</v>
      </c>
      <c r="H70" t="str">
        <f>IFERROR(VLOOKUP(C70,'BD Total'!$A$1:$G$506,6,0),"")</f>
        <v>Si</v>
      </c>
      <c r="I70" t="str">
        <f>IFERROR(VLOOKUP(C70,'BD Total'!$A$1:$G$506,7,0),"")</f>
        <v>Si</v>
      </c>
    </row>
    <row r="71" spans="2:9" x14ac:dyDescent="0.3">
      <c r="B71" s="1" t="s">
        <v>297</v>
      </c>
      <c r="C71" s="1" t="s">
        <v>319</v>
      </c>
      <c r="D71" s="13" t="str">
        <f>IFERROR(VLOOKUP(C71,'BD Total'!$A$1:$H$506,3,0),"")</f>
        <v>Tineta</v>
      </c>
      <c r="E71" s="13">
        <v>2</v>
      </c>
      <c r="F71" s="14">
        <f>IFERROR(VLOOKUP(C71,'BD Total'!$A$1:$H$506,4,0),"")</f>
        <v>40000</v>
      </c>
      <c r="G71" s="54">
        <f t="shared" si="0"/>
        <v>80000</v>
      </c>
      <c r="H71" t="str">
        <f>IFERROR(VLOOKUP(C71,'BD Total'!$A$1:$G$506,6,0),"")</f>
        <v>Si</v>
      </c>
      <c r="I71" t="str">
        <f>IFERROR(VLOOKUP(C71,'BD Total'!$A$1:$G$506,7,0),"")</f>
        <v>Si</v>
      </c>
    </row>
    <row r="72" spans="2:9" x14ac:dyDescent="0.3">
      <c r="B72" s="1" t="s">
        <v>297</v>
      </c>
      <c r="C72" s="1" t="s">
        <v>313</v>
      </c>
      <c r="D72" s="13" t="str">
        <f>IFERROR(VLOOKUP(C72,'BD Total'!$A$1:$H$506,3,0),"")</f>
        <v>Tineta</v>
      </c>
      <c r="E72" s="13">
        <v>2</v>
      </c>
      <c r="F72" s="14">
        <f>IFERROR(VLOOKUP(C72,'BD Total'!$A$1:$H$506,4,0),"")</f>
        <v>90000</v>
      </c>
      <c r="G72" s="54">
        <f t="shared" si="0"/>
        <v>180000</v>
      </c>
      <c r="H72" t="str">
        <f>IFERROR(VLOOKUP(C72,'BD Total'!$A$1:$G$506,6,0),"")</f>
        <v>Si</v>
      </c>
      <c r="I72" t="str">
        <f>IFERROR(VLOOKUP(C72,'BD Total'!$A$1:$G$506,7,0),"")</f>
        <v>Si</v>
      </c>
    </row>
    <row r="73" spans="2:9" x14ac:dyDescent="0.3">
      <c r="B73" s="1" t="s">
        <v>297</v>
      </c>
      <c r="C73" s="1" t="s">
        <v>321</v>
      </c>
      <c r="D73" s="13" t="str">
        <f>IFERROR(VLOOKUP(C73,'BD Total'!$A$1:$H$506,3,0),"")</f>
        <v>Unidad</v>
      </c>
      <c r="E73" s="13">
        <v>2</v>
      </c>
      <c r="F73" s="14">
        <f>IFERROR(VLOOKUP(C73,'BD Total'!$A$1:$H$506,4,0),"")</f>
        <v>50000</v>
      </c>
      <c r="G73" s="54">
        <f t="shared" si="0"/>
        <v>100000</v>
      </c>
      <c r="H73" t="str">
        <f>IFERROR(VLOOKUP(C73,'BD Total'!$A$1:$G$506,6,0),"")</f>
        <v>No</v>
      </c>
      <c r="I73" t="str">
        <f>IFERROR(VLOOKUP(C73,'BD Total'!$A$1:$G$506,7,0),"")</f>
        <v>Si</v>
      </c>
    </row>
    <row r="74" spans="2:9" x14ac:dyDescent="0.3">
      <c r="B74" s="1" t="s">
        <v>297</v>
      </c>
      <c r="C74" s="1" t="s">
        <v>317</v>
      </c>
      <c r="D74" s="13" t="str">
        <f>IFERROR(VLOOKUP(C74,'BD Total'!$A$1:$H$506,3,0),"")</f>
        <v>Unidad</v>
      </c>
      <c r="E74" s="13">
        <v>1</v>
      </c>
      <c r="F74" s="14">
        <f>IFERROR(VLOOKUP(C74,'BD Total'!$A$1:$H$506,4,0),"")</f>
        <v>105033.61344537816</v>
      </c>
      <c r="G74" s="54">
        <f t="shared" si="0"/>
        <v>105033.61344537816</v>
      </c>
      <c r="H74" t="str">
        <f>IFERROR(VLOOKUP(C74,'BD Total'!$A$1:$G$506,6,0),"")</f>
        <v>Si</v>
      </c>
      <c r="I74" t="str">
        <f>IFERROR(VLOOKUP(C74,'BD Total'!$A$1:$G$506,7,0),"")</f>
        <v>Si</v>
      </c>
    </row>
    <row r="75" spans="2:9" x14ac:dyDescent="0.3">
      <c r="B75" s="1" t="s">
        <v>325</v>
      </c>
      <c r="C75" s="1" t="s">
        <v>332</v>
      </c>
      <c r="D75" s="13" t="str">
        <f>IFERROR(VLOOKUP(C75,'BD Total'!$A$1:$H$506,3,0),"")</f>
        <v>m2</v>
      </c>
      <c r="E75" s="13">
        <v>90</v>
      </c>
      <c r="F75" s="14">
        <f>IFERROR(VLOOKUP(C75,'BD Total'!$A$1:$H$506,4,0),"")</f>
        <v>12596</v>
      </c>
      <c r="G75" s="54">
        <f t="shared" si="0"/>
        <v>1133640</v>
      </c>
      <c r="H75" t="str">
        <f>IFERROR(VLOOKUP(C75,'BD Total'!$A$1:$G$506,6,0),"")</f>
        <v>Si</v>
      </c>
      <c r="I75" t="str">
        <f>IFERROR(VLOOKUP(C75,'BD Total'!$A$1:$G$506,7,0),"")</f>
        <v>Si</v>
      </c>
    </row>
    <row r="76" spans="2:9" x14ac:dyDescent="0.3">
      <c r="B76" s="1"/>
      <c r="C76" s="1"/>
      <c r="D76" s="13" t="str">
        <f>IFERROR(VLOOKUP(C76,'BD Total'!$A$1:$H$506,3,0),"")</f>
        <v/>
      </c>
      <c r="E76" s="13"/>
      <c r="F76" s="14" t="str">
        <f>IFERROR(VLOOKUP(C76,'BD Total'!$A$1:$H$506,4,0),"")</f>
        <v/>
      </c>
      <c r="G76" s="54" t="str">
        <f t="shared" si="0"/>
        <v/>
      </c>
      <c r="H76" t="str">
        <f>IFERROR(VLOOKUP(C76,'BD Total'!$A$1:$G$506,6,0),"")</f>
        <v/>
      </c>
      <c r="I76" t="str">
        <f>IFERROR(VLOOKUP(C76,'BD Total'!$A$1:$G$506,7,0),"")</f>
        <v/>
      </c>
    </row>
    <row r="77" spans="2:9" x14ac:dyDescent="0.3">
      <c r="B77" s="1" t="s">
        <v>325</v>
      </c>
      <c r="C77" s="1" t="s">
        <v>327</v>
      </c>
      <c r="D77" s="13" t="str">
        <f>IFERROR(VLOOKUP(C77,'BD Total'!$A$1:$H$506,3,0),"")</f>
        <v>Unidad</v>
      </c>
      <c r="E77" s="13">
        <v>3</v>
      </c>
      <c r="F77" s="14">
        <f>IFERROR(VLOOKUP(C77,'BD Total'!$A$1:$H$506,4,0),"")</f>
        <v>1840.3361344537816</v>
      </c>
      <c r="G77" s="54">
        <f t="shared" si="0"/>
        <v>5521.0084033613448</v>
      </c>
      <c r="H77" t="str">
        <f>IFERROR(VLOOKUP(C77,'BD Total'!$A$1:$G$506,6,0),"")</f>
        <v>No</v>
      </c>
      <c r="I77" t="str">
        <f>IFERROR(VLOOKUP(C77,'BD Total'!$A$1:$G$506,7,0),"")</f>
        <v>Si</v>
      </c>
    </row>
    <row r="78" spans="2:9" x14ac:dyDescent="0.3">
      <c r="B78" s="1" t="s">
        <v>349</v>
      </c>
      <c r="C78" s="1" t="s">
        <v>357</v>
      </c>
      <c r="D78" s="13" t="str">
        <f>IFERROR(VLOOKUP(C78,'BD Total'!$A$1:$H$506,3,0),"")</f>
        <v>Unidad</v>
      </c>
      <c r="E78" s="13">
        <v>8</v>
      </c>
      <c r="F78" s="14">
        <f>IFERROR(VLOOKUP(C78,'BD Total'!$A$1:$H$506,4,0),"")</f>
        <v>5000</v>
      </c>
      <c r="G78" s="54">
        <f t="shared" ref="G78:G141" si="1">IFERROR(F78*E78,"")</f>
        <v>40000</v>
      </c>
      <c r="H78" t="str">
        <f>IFERROR(VLOOKUP(C78,'BD Total'!$A$1:$G$506,6,0),"")</f>
        <v>Si</v>
      </c>
      <c r="I78" t="str">
        <f>IFERROR(VLOOKUP(C78,'BD Total'!$A$1:$G$506,7,0),"")</f>
        <v>Si</v>
      </c>
    </row>
    <row r="79" spans="2:9" x14ac:dyDescent="0.3">
      <c r="B79" s="1" t="s">
        <v>349</v>
      </c>
      <c r="C79" s="1" t="s">
        <v>380</v>
      </c>
      <c r="D79" s="13" t="str">
        <f>IFERROR(VLOOKUP(C79,'BD Total'!$A$1:$H$506,3,0),"")</f>
        <v>Unidad</v>
      </c>
      <c r="E79" s="13">
        <v>8</v>
      </c>
      <c r="F79" s="14">
        <f>IFERROR(VLOOKUP(C79,'BD Total'!$A$1:$H$506,4,0),"")</f>
        <v>85000</v>
      </c>
      <c r="G79" s="54">
        <f t="shared" si="1"/>
        <v>680000</v>
      </c>
      <c r="H79" t="str">
        <f>IFERROR(VLOOKUP(C79,'BD Total'!$A$1:$G$506,6,0),"")</f>
        <v>Si</v>
      </c>
      <c r="I79" t="str">
        <f>IFERROR(VLOOKUP(C79,'BD Total'!$A$1:$G$506,7,0),"")</f>
        <v>Si</v>
      </c>
    </row>
    <row r="80" spans="2:9" x14ac:dyDescent="0.3">
      <c r="B80" s="1" t="s">
        <v>349</v>
      </c>
      <c r="C80" s="1" t="s">
        <v>353</v>
      </c>
      <c r="D80" s="13" t="str">
        <f>IFERROR(VLOOKUP(C80,'BD Total'!$A$1:$H$506,3,0),"")</f>
        <v>Unidad</v>
      </c>
      <c r="E80" s="13">
        <v>8</v>
      </c>
      <c r="F80" s="14">
        <f>IFERROR(VLOOKUP(C80,'BD Total'!$A$1:$H$506,4,0),"")</f>
        <v>3500</v>
      </c>
      <c r="G80" s="54">
        <f t="shared" si="1"/>
        <v>28000</v>
      </c>
      <c r="H80" t="str">
        <f>IFERROR(VLOOKUP(C80,'BD Total'!$A$1:$G$506,6,0),"")</f>
        <v>No</v>
      </c>
      <c r="I80" t="str">
        <f>IFERROR(VLOOKUP(C80,'BD Total'!$A$1:$G$506,7,0),"")</f>
        <v>Si</v>
      </c>
    </row>
    <row r="81" spans="2:9" x14ac:dyDescent="0.3">
      <c r="B81" s="1" t="s">
        <v>349</v>
      </c>
      <c r="C81" s="1" t="s">
        <v>409</v>
      </c>
      <c r="D81" s="13" t="str">
        <f>IFERROR(VLOOKUP(C81,'BD Total'!$A$1:$H$506,3,0),"")</f>
        <v>Unidad</v>
      </c>
      <c r="E81" s="13">
        <v>1</v>
      </c>
      <c r="F81" s="14">
        <f>IFERROR(VLOOKUP(C81,'BD Total'!$A$1:$H$506,4,0),"")</f>
        <v>453782</v>
      </c>
      <c r="G81" s="54">
        <f t="shared" si="1"/>
        <v>453782</v>
      </c>
      <c r="H81" t="str">
        <f>IFERROR(VLOOKUP(C81,'BD Total'!$A$1:$G$506,6,0),"")</f>
        <v>Si</v>
      </c>
      <c r="I81" t="str">
        <f>IFERROR(VLOOKUP(C81,'BD Total'!$A$1:$G$506,7,0),"")</f>
        <v>Si</v>
      </c>
    </row>
    <row r="82" spans="2:9" x14ac:dyDescent="0.3">
      <c r="B82" s="1" t="s">
        <v>413</v>
      </c>
      <c r="C82" s="1" t="s">
        <v>364</v>
      </c>
      <c r="D82" s="13" t="str">
        <f>IFERROR(VLOOKUP(C82,'BD Total'!$A$1:$H$506,3,0),"")</f>
        <v>Unidad</v>
      </c>
      <c r="E82" s="13">
        <v>8</v>
      </c>
      <c r="F82" s="14">
        <f>IFERROR(VLOOKUP(C82,'BD Total'!$A$1:$H$506,4,0),"")</f>
        <v>11000</v>
      </c>
      <c r="G82" s="54">
        <f t="shared" si="1"/>
        <v>88000</v>
      </c>
      <c r="H82" t="str">
        <f>IFERROR(VLOOKUP(C82,'BD Total'!$A$1:$G$506,6,0),"")</f>
        <v>No</v>
      </c>
      <c r="I82" t="str">
        <f>IFERROR(VLOOKUP(C82,'BD Total'!$A$1:$G$506,7,0),"")</f>
        <v>Si</v>
      </c>
    </row>
    <row r="83" spans="2:9" x14ac:dyDescent="0.3">
      <c r="B83" s="1" t="s">
        <v>416</v>
      </c>
      <c r="C83" s="1" t="s">
        <v>441</v>
      </c>
      <c r="D83" s="13" t="str">
        <f>IFERROR(VLOOKUP(C83,'BD Total'!$A$1:$H$506,3,0),"")</f>
        <v>Unidad</v>
      </c>
      <c r="E83" s="13">
        <v>16</v>
      </c>
      <c r="F83" s="14">
        <f>IFERROR(VLOOKUP(C83,'BD Total'!$A$1:$H$506,4,0),"")</f>
        <v>1504</v>
      </c>
      <c r="G83" s="54">
        <f t="shared" si="1"/>
        <v>24064</v>
      </c>
      <c r="H83" t="str">
        <f>IFERROR(VLOOKUP(C83,'BD Total'!$A$1:$G$506,6,0),"")</f>
        <v>No</v>
      </c>
      <c r="I83" t="str">
        <f>IFERROR(VLOOKUP(C83,'BD Total'!$A$1:$G$506,7,0),"")</f>
        <v>Si</v>
      </c>
    </row>
    <row r="84" spans="2:9" x14ac:dyDescent="0.3">
      <c r="B84" s="1" t="s">
        <v>416</v>
      </c>
      <c r="C84" s="1" t="s">
        <v>428</v>
      </c>
      <c r="D84" s="13" t="str">
        <f>IFERROR(VLOOKUP(C84,'BD Total'!$A$1:$H$506,3,0),"")</f>
        <v>Unidad</v>
      </c>
      <c r="E84" s="13">
        <v>12</v>
      </c>
      <c r="F84" s="14">
        <f>IFERROR(VLOOKUP(C84,'BD Total'!$A$1:$H$506,4,0),"")</f>
        <v>200</v>
      </c>
      <c r="G84" s="54">
        <f t="shared" si="1"/>
        <v>2400</v>
      </c>
      <c r="H84" t="str">
        <f>IFERROR(VLOOKUP(C84,'BD Total'!$A$1:$G$506,6,0),"")</f>
        <v>No</v>
      </c>
      <c r="I84" t="str">
        <f>IFERROR(VLOOKUP(C84,'BD Total'!$A$1:$G$506,7,0),"")</f>
        <v>Si</v>
      </c>
    </row>
    <row r="85" spans="2:9" x14ac:dyDescent="0.3">
      <c r="B85" s="1" t="s">
        <v>416</v>
      </c>
      <c r="C85" s="1" t="s">
        <v>443</v>
      </c>
      <c r="D85" s="13" t="str">
        <f>IFERROR(VLOOKUP(C85,'BD Total'!$A$1:$H$506,3,0),"")</f>
        <v>Unidad</v>
      </c>
      <c r="E85" s="13">
        <v>22</v>
      </c>
      <c r="F85" s="14">
        <f>IFERROR(VLOOKUP(C85,'BD Total'!$A$1:$H$506,4,0),"")</f>
        <v>2345</v>
      </c>
      <c r="G85" s="54">
        <f t="shared" si="1"/>
        <v>51590</v>
      </c>
      <c r="H85" t="str">
        <f>IFERROR(VLOOKUP(C85,'BD Total'!$A$1:$G$506,6,0),"")</f>
        <v>No</v>
      </c>
      <c r="I85" t="str">
        <f>IFERROR(VLOOKUP(C85,'BD Total'!$A$1:$G$506,7,0),"")</f>
        <v>Si</v>
      </c>
    </row>
    <row r="86" spans="2:9" x14ac:dyDescent="0.3">
      <c r="B86" s="1" t="s">
        <v>416</v>
      </c>
      <c r="C86" s="1" t="s">
        <v>442</v>
      </c>
      <c r="D86" s="13" t="str">
        <f>IFERROR(VLOOKUP(C86,'BD Total'!$A$1:$H$506,3,0),"")</f>
        <v>Unidad</v>
      </c>
      <c r="E86" s="13">
        <v>16</v>
      </c>
      <c r="F86" s="14">
        <f>IFERROR(VLOOKUP(C86,'BD Total'!$A$1:$H$506,4,0),"")</f>
        <v>1504</v>
      </c>
      <c r="G86" s="54">
        <f t="shared" si="1"/>
        <v>24064</v>
      </c>
      <c r="H86" t="str">
        <f>IFERROR(VLOOKUP(C86,'BD Total'!$A$1:$G$506,6,0),"")</f>
        <v>No</v>
      </c>
      <c r="I86" t="str">
        <f>IFERROR(VLOOKUP(C86,'BD Total'!$A$1:$G$506,7,0),"")</f>
        <v>Si</v>
      </c>
    </row>
    <row r="87" spans="2:9" x14ac:dyDescent="0.3">
      <c r="B87" s="1" t="s">
        <v>199</v>
      </c>
      <c r="C87" s="1" t="s">
        <v>245</v>
      </c>
      <c r="D87" s="13" t="str">
        <f>IFERROR(VLOOKUP(C87,'BD Total'!$A$1:$H$506,3,0),"")</f>
        <v>Unidad</v>
      </c>
      <c r="E87" s="13">
        <v>60</v>
      </c>
      <c r="F87" s="14">
        <f>IFERROR(VLOOKUP(C87,'BD Total'!$A$1:$H$506,4,0),"")</f>
        <v>680</v>
      </c>
      <c r="G87" s="54">
        <f t="shared" si="1"/>
        <v>40800</v>
      </c>
      <c r="H87" t="str">
        <f>IFERROR(VLOOKUP(C87,'BD Total'!$A$1:$G$506,6,0),"")</f>
        <v>No</v>
      </c>
      <c r="I87" t="str">
        <f>IFERROR(VLOOKUP(C87,'BD Total'!$A$1:$G$506,7,0),"")</f>
        <v>Si</v>
      </c>
    </row>
    <row r="88" spans="2:9" x14ac:dyDescent="0.3">
      <c r="B88" s="1" t="s">
        <v>416</v>
      </c>
      <c r="C88" s="1" t="s">
        <v>836</v>
      </c>
      <c r="D88" s="13" t="str">
        <f>IFERROR(VLOOKUP(C88,'BD Total'!$A$1:$H$506,3,0),"")</f>
        <v>Unidad</v>
      </c>
      <c r="E88" s="13">
        <v>10</v>
      </c>
      <c r="F88" s="14">
        <f>IFERROR(VLOOKUP(C88,'BD Total'!$A$1:$H$506,4,0),"")</f>
        <v>1000</v>
      </c>
      <c r="G88" s="54">
        <f t="shared" si="1"/>
        <v>10000</v>
      </c>
      <c r="H88" t="str">
        <f>IFERROR(VLOOKUP(C88,'BD Total'!$A$1:$G$506,6,0),"")</f>
        <v>No</v>
      </c>
      <c r="I88" t="str">
        <f>IFERROR(VLOOKUP(C88,'BD Total'!$A$1:$G$506,7,0),"")</f>
        <v>Si</v>
      </c>
    </row>
    <row r="89" spans="2:9" x14ac:dyDescent="0.3">
      <c r="B89" s="1" t="s">
        <v>416</v>
      </c>
      <c r="C89" s="1" t="s">
        <v>415</v>
      </c>
      <c r="D89" s="13" t="str">
        <f>IFERROR(VLOOKUP(C89,'BD Total'!$A$1:$H$506,3,0),"")</f>
        <v>Unidad</v>
      </c>
      <c r="E89" s="13">
        <v>18</v>
      </c>
      <c r="F89" s="14">
        <f>IFERROR(VLOOKUP(C89,'BD Total'!$A$1:$H$506,4,0),"")</f>
        <v>124</v>
      </c>
      <c r="G89" s="54">
        <f t="shared" si="1"/>
        <v>2232</v>
      </c>
      <c r="H89" t="str">
        <f>IFERROR(VLOOKUP(C89,'BD Total'!$A$1:$G$506,6,0),"")</f>
        <v>No</v>
      </c>
      <c r="I89" t="str">
        <f>IFERROR(VLOOKUP(C89,'BD Total'!$A$1:$G$506,7,0),"")</f>
        <v>Si</v>
      </c>
    </row>
    <row r="90" spans="2:9" x14ac:dyDescent="0.3">
      <c r="B90" s="1" t="s">
        <v>416</v>
      </c>
      <c r="C90" s="1" t="s">
        <v>439</v>
      </c>
      <c r="D90" s="13" t="str">
        <f>IFERROR(VLOOKUP(C90,'BD Total'!$A$1:$H$506,3,0),"")</f>
        <v>Unidad</v>
      </c>
      <c r="E90" s="13">
        <v>3</v>
      </c>
      <c r="F90" s="14">
        <f>IFERROR(VLOOKUP(C90,'BD Total'!$A$1:$H$506,4,0),"")</f>
        <v>8000</v>
      </c>
      <c r="G90" s="54">
        <f t="shared" si="1"/>
        <v>24000</v>
      </c>
      <c r="H90" t="str">
        <f>IFERROR(VLOOKUP(C90,'BD Total'!$A$1:$G$506,6,0),"")</f>
        <v>No</v>
      </c>
      <c r="I90" t="str">
        <f>IFERROR(VLOOKUP(C90,'BD Total'!$A$1:$G$506,7,0),"")</f>
        <v>Si</v>
      </c>
    </row>
    <row r="91" spans="2:9" x14ac:dyDescent="0.3">
      <c r="B91" s="1" t="s">
        <v>451</v>
      </c>
      <c r="C91" s="1" t="s">
        <v>454</v>
      </c>
      <c r="D91" s="13" t="str">
        <f>IFERROR(VLOOKUP(C91,'BD Total'!$A$1:$H$506,3,0),"")</f>
        <v>Unidad</v>
      </c>
      <c r="E91" s="13">
        <v>24</v>
      </c>
      <c r="F91" s="14">
        <f>IFERROR(VLOOKUP(C91,'BD Total'!$A$1:$H$506,4,0),"")</f>
        <v>1000</v>
      </c>
      <c r="G91" s="54">
        <f t="shared" si="1"/>
        <v>24000</v>
      </c>
      <c r="H91" t="str">
        <f>IFERROR(VLOOKUP(C91,'BD Total'!$A$1:$G$506,6,0),"")</f>
        <v>No</v>
      </c>
      <c r="I91" t="str">
        <f>IFERROR(VLOOKUP(C91,'BD Total'!$A$1:$G$506,7,0),"")</f>
        <v>Si</v>
      </c>
    </row>
    <row r="92" spans="2:9" x14ac:dyDescent="0.3">
      <c r="B92" s="1" t="s">
        <v>451</v>
      </c>
      <c r="C92" s="1" t="s">
        <v>469</v>
      </c>
      <c r="D92" s="13" t="str">
        <f>IFERROR(VLOOKUP(C92,'BD Total'!$A$1:$H$506,3,0),"")</f>
        <v>Unidad</v>
      </c>
      <c r="E92" s="13">
        <v>70</v>
      </c>
      <c r="F92" s="14">
        <f>IFERROR(VLOOKUP(C92,'BD Total'!$A$1:$H$506,4,0),"")</f>
        <v>1200</v>
      </c>
      <c r="G92" s="54">
        <f t="shared" si="1"/>
        <v>84000</v>
      </c>
      <c r="H92" t="str">
        <f>IFERROR(VLOOKUP(C92,'BD Total'!$A$1:$G$506,6,0),"")</f>
        <v>No</v>
      </c>
      <c r="I92" t="str">
        <f>IFERROR(VLOOKUP(C92,'BD Total'!$A$1:$G$506,7,0),"")</f>
        <v>Si</v>
      </c>
    </row>
    <row r="93" spans="2:9" x14ac:dyDescent="0.3">
      <c r="B93" s="1" t="s">
        <v>451</v>
      </c>
      <c r="C93" s="1" t="s">
        <v>482</v>
      </c>
      <c r="D93" s="13" t="str">
        <f>IFERROR(VLOOKUP(C93,'BD Total'!$A$1:$H$506,3,0),"")</f>
        <v>Unidad</v>
      </c>
      <c r="E93" s="13">
        <v>90</v>
      </c>
      <c r="F93" s="14">
        <f>IFERROR(VLOOKUP(C93,'BD Total'!$A$1:$H$506,4,0),"")</f>
        <v>2765</v>
      </c>
      <c r="G93" s="54">
        <f t="shared" si="1"/>
        <v>248850</v>
      </c>
      <c r="H93" t="str">
        <f>IFERROR(VLOOKUP(C93,'BD Total'!$A$1:$G$506,6,0),"")</f>
        <v>No</v>
      </c>
      <c r="I93" t="str">
        <f>IFERROR(VLOOKUP(C93,'BD Total'!$A$1:$G$506,7,0),"")</f>
        <v>Si</v>
      </c>
    </row>
    <row r="94" spans="2:9" x14ac:dyDescent="0.3">
      <c r="B94" s="1" t="s">
        <v>451</v>
      </c>
      <c r="C94" s="1" t="s">
        <v>534</v>
      </c>
      <c r="D94" s="13" t="str">
        <f>IFERROR(VLOOKUP(C94,'BD Total'!$A$1:$H$506,3,0),"")</f>
        <v>Unidad</v>
      </c>
      <c r="E94" s="13">
        <v>9</v>
      </c>
      <c r="F94" s="14">
        <f>IFERROR(VLOOKUP(C94,'BD Total'!$A$1:$H$506,4,0),"")</f>
        <v>2690</v>
      </c>
      <c r="G94" s="54">
        <f t="shared" si="1"/>
        <v>24210</v>
      </c>
      <c r="H94" t="str">
        <f>IFERROR(VLOOKUP(C94,'BD Total'!$A$1:$G$506,6,0),"")</f>
        <v>No</v>
      </c>
      <c r="I94" t="str">
        <f>IFERROR(VLOOKUP(C94,'BD Total'!$A$1:$G$506,7,0),"")</f>
        <v>Si</v>
      </c>
    </row>
    <row r="95" spans="2:9" x14ac:dyDescent="0.3">
      <c r="B95" s="1" t="s">
        <v>451</v>
      </c>
      <c r="C95" s="1" t="s">
        <v>535</v>
      </c>
      <c r="D95" s="13" t="str">
        <f>IFERROR(VLOOKUP(C95,'BD Total'!$A$1:$H$506,3,0),"")</f>
        <v>Unidad</v>
      </c>
      <c r="E95" s="13">
        <v>10</v>
      </c>
      <c r="F95" s="14">
        <f>IFERROR(VLOOKUP(C95,'BD Total'!$A$1:$H$506,4,0),"")</f>
        <v>3000</v>
      </c>
      <c r="G95" s="54">
        <f t="shared" si="1"/>
        <v>30000</v>
      </c>
      <c r="H95" t="str">
        <f>IFERROR(VLOOKUP(C95,'BD Total'!$A$1:$G$506,6,0),"")</f>
        <v>No</v>
      </c>
      <c r="I95" t="str">
        <f>IFERROR(VLOOKUP(C95,'BD Total'!$A$1:$G$506,7,0),"")</f>
        <v>Si</v>
      </c>
    </row>
    <row r="96" spans="2:9" x14ac:dyDescent="0.3">
      <c r="B96" s="1" t="s">
        <v>451</v>
      </c>
      <c r="C96" s="1" t="s">
        <v>542</v>
      </c>
      <c r="D96" s="13" t="str">
        <f>IFERROR(VLOOKUP(C96,'BD Total'!$A$1:$H$506,3,0),"")</f>
        <v>Unidad</v>
      </c>
      <c r="E96" s="13">
        <v>2</v>
      </c>
      <c r="F96" s="14">
        <f>IFERROR(VLOOKUP(C96,'BD Total'!$A$1:$H$506,4,0),"")</f>
        <v>50000</v>
      </c>
      <c r="G96" s="54">
        <f t="shared" si="1"/>
        <v>100000</v>
      </c>
      <c r="H96" t="str">
        <f>IFERROR(VLOOKUP(C96,'BD Total'!$A$1:$G$506,6,0),"")</f>
        <v>No</v>
      </c>
      <c r="I96" t="str">
        <f>IFERROR(VLOOKUP(C96,'BD Total'!$A$1:$G$506,7,0),"")</f>
        <v>Si</v>
      </c>
    </row>
    <row r="97" spans="2:10" x14ac:dyDescent="0.3">
      <c r="B97" s="1" t="s">
        <v>451</v>
      </c>
      <c r="C97" s="1" t="s">
        <v>547</v>
      </c>
      <c r="D97" s="13" t="str">
        <f>IFERROR(VLOOKUP(C97,'BD Total'!$A$1:$H$506,3,0),"")</f>
        <v>Unidad</v>
      </c>
      <c r="E97" s="13">
        <v>66</v>
      </c>
      <c r="F97" s="14">
        <f>IFERROR(VLOOKUP(C97,'BD Total'!$A$1:$H$506,4,0),"")</f>
        <v>5151</v>
      </c>
      <c r="G97" s="54">
        <f t="shared" si="1"/>
        <v>339966</v>
      </c>
      <c r="H97" t="str">
        <f>IFERROR(VLOOKUP(C97,'BD Total'!$A$1:$G$506,6,0),"")</f>
        <v>Si</v>
      </c>
      <c r="I97" t="str">
        <f>IFERROR(VLOOKUP(C97,'BD Total'!$A$1:$G$506,7,0),"")</f>
        <v>Si</v>
      </c>
    </row>
    <row r="98" spans="2:10" x14ac:dyDescent="0.3">
      <c r="B98" s="1" t="s">
        <v>199</v>
      </c>
      <c r="C98" s="1" t="s">
        <v>205</v>
      </c>
      <c r="D98" s="13" t="str">
        <f>IFERROR(VLOOKUP(C98,'BD Total'!$A$1:$H$506,3,0),"")</f>
        <v>Unidad</v>
      </c>
      <c r="E98" s="13">
        <v>1</v>
      </c>
      <c r="F98" s="14">
        <f>IFERROR(VLOOKUP(C98,'BD Total'!$A$1:$H$506,4,0),"")</f>
        <v>13150</v>
      </c>
      <c r="G98" s="54">
        <f t="shared" si="1"/>
        <v>13150</v>
      </c>
      <c r="H98" t="str">
        <f>IFERROR(VLOOKUP(C98,'BD Total'!$A$1:$G$506,6,0),"")</f>
        <v>No</v>
      </c>
      <c r="I98" t="str">
        <f>IFERROR(VLOOKUP(C98,'BD Total'!$A$1:$G$506,7,0),"")</f>
        <v>Si</v>
      </c>
    </row>
    <row r="99" spans="2:10" x14ac:dyDescent="0.3">
      <c r="B99" s="1" t="s">
        <v>451</v>
      </c>
      <c r="C99" s="1" t="s">
        <v>553</v>
      </c>
      <c r="D99" s="13" t="str">
        <f>IFERROR(VLOOKUP(C99,'BD Total'!$A$1:$H$506,3,0),"")</f>
        <v>Unidad</v>
      </c>
      <c r="E99" s="13">
        <v>90</v>
      </c>
      <c r="F99" s="14">
        <f>IFERROR(VLOOKUP(C99,'BD Total'!$A$1:$H$506,4,0),"")</f>
        <v>6222</v>
      </c>
      <c r="G99" s="54">
        <f t="shared" si="1"/>
        <v>559980</v>
      </c>
      <c r="H99" t="str">
        <f>IFERROR(VLOOKUP(C99,'BD Total'!$A$1:$G$506,6,0),"")</f>
        <v>No</v>
      </c>
      <c r="I99" t="str">
        <f>IFERROR(VLOOKUP(C99,'BD Total'!$A$1:$G$506,7,0),"")</f>
        <v>Si</v>
      </c>
    </row>
    <row r="100" spans="2:10" x14ac:dyDescent="0.3">
      <c r="B100" s="1" t="s">
        <v>199</v>
      </c>
      <c r="C100" s="1" t="s">
        <v>235</v>
      </c>
      <c r="D100" s="13" t="str">
        <f>IFERROR(VLOOKUP(C100,'BD Total'!$A$1:$H$506,3,0),"")</f>
        <v>Unidad</v>
      </c>
      <c r="E100" s="13">
        <v>2</v>
      </c>
      <c r="F100" s="14">
        <f>IFERROR(VLOOKUP(C100,'BD Total'!$A$1:$H$506,4,0),"")</f>
        <v>4200</v>
      </c>
      <c r="G100" s="54">
        <f t="shared" si="1"/>
        <v>8400</v>
      </c>
      <c r="H100" t="str">
        <f>IFERROR(VLOOKUP(C100,'BD Total'!$A$1:$G$506,6,0),"")</f>
        <v>No</v>
      </c>
      <c r="I100" t="str">
        <f>IFERROR(VLOOKUP(C100,'BD Total'!$A$1:$G$506,7,0),"")</f>
        <v>Si</v>
      </c>
      <c r="J100">
        <v>2</v>
      </c>
    </row>
    <row r="101" spans="2:10" x14ac:dyDescent="0.3">
      <c r="B101" s="1" t="s">
        <v>451</v>
      </c>
      <c r="C101" s="1" t="s">
        <v>504</v>
      </c>
      <c r="D101" s="13" t="str">
        <f>IFERROR(VLOOKUP(C101,'BD Total'!$A$1:$H$506,3,0),"")</f>
        <v>Unidad</v>
      </c>
      <c r="E101" s="13">
        <v>12</v>
      </c>
      <c r="F101" s="14">
        <f>IFERROR(VLOOKUP(C101,'BD Total'!$A$1:$H$506,4,0),"")</f>
        <v>20100</v>
      </c>
      <c r="G101" s="54">
        <f t="shared" si="1"/>
        <v>241200</v>
      </c>
      <c r="H101" t="str">
        <f>IFERROR(VLOOKUP(C101,'BD Total'!$A$1:$G$506,6,0),"")</f>
        <v>No</v>
      </c>
      <c r="I101" t="str">
        <f>IFERROR(VLOOKUP(C101,'BD Total'!$A$1:$G$506,7,0),"")</f>
        <v>Si</v>
      </c>
    </row>
    <row r="102" spans="2:10" x14ac:dyDescent="0.3">
      <c r="B102" s="1" t="s">
        <v>451</v>
      </c>
      <c r="C102" s="1" t="s">
        <v>529</v>
      </c>
      <c r="D102" s="13" t="str">
        <f>IFERROR(VLOOKUP(C102,'BD Total'!$A$1:$H$506,3,0),"")</f>
        <v>Unidad</v>
      </c>
      <c r="E102" s="13">
        <v>78</v>
      </c>
      <c r="F102" s="14">
        <f>IFERROR(VLOOKUP(C102,'BD Total'!$A$1:$H$506,4,0),"")</f>
        <v>10000</v>
      </c>
      <c r="G102" s="54">
        <f t="shared" si="1"/>
        <v>780000</v>
      </c>
      <c r="H102" t="str">
        <f>IFERROR(VLOOKUP(C102,'BD Total'!$A$1:$G$506,6,0),"")</f>
        <v>Si</v>
      </c>
      <c r="I102" t="str">
        <f>IFERROR(VLOOKUP(C102,'BD Total'!$A$1:$G$506,7,0),"")</f>
        <v>Si</v>
      </c>
    </row>
    <row r="103" spans="2:10" x14ac:dyDescent="0.3">
      <c r="B103" s="1" t="s">
        <v>451</v>
      </c>
      <c r="C103" s="1" t="s">
        <v>530</v>
      </c>
      <c r="D103" s="13" t="str">
        <f>IFERROR(VLOOKUP(C103,'BD Total'!$A$1:$H$506,3,0),"")</f>
        <v>General</v>
      </c>
      <c r="E103" s="13">
        <v>1</v>
      </c>
      <c r="F103" s="14">
        <f>IFERROR(VLOOKUP(C103,'BD Total'!$A$1:$H$506,4,0),"")</f>
        <v>10500</v>
      </c>
      <c r="G103" s="54">
        <f t="shared" si="1"/>
        <v>10500</v>
      </c>
      <c r="H103" t="str">
        <f>IFERROR(VLOOKUP(C103,'BD Total'!$A$1:$G$506,6,0),"")</f>
        <v>No</v>
      </c>
      <c r="I103" t="str">
        <f>IFERROR(VLOOKUP(C103,'BD Total'!$A$1:$G$506,7,0),"")</f>
        <v>Si</v>
      </c>
    </row>
    <row r="104" spans="2:10" x14ac:dyDescent="0.3">
      <c r="B104" s="1" t="s">
        <v>451</v>
      </c>
      <c r="C104" s="1" t="s">
        <v>501</v>
      </c>
      <c r="D104" s="13" t="str">
        <f>IFERROR(VLOOKUP(C104,'BD Total'!$A$1:$H$506,3,0),"")</f>
        <v>Unidad</v>
      </c>
      <c r="E104" s="13">
        <v>12</v>
      </c>
      <c r="F104" s="14">
        <f>IFERROR(VLOOKUP(C104,'BD Total'!$A$1:$H$506,4,0),"")</f>
        <v>11000</v>
      </c>
      <c r="G104" s="54">
        <f t="shared" si="1"/>
        <v>132000</v>
      </c>
      <c r="H104" t="str">
        <f>IFERROR(VLOOKUP(C104,'BD Total'!$A$1:$G$506,6,0),"")</f>
        <v>No</v>
      </c>
      <c r="I104" t="str">
        <f>IFERROR(VLOOKUP(C104,'BD Total'!$A$1:$G$506,7,0),"")</f>
        <v>Si</v>
      </c>
    </row>
    <row r="105" spans="2:10" x14ac:dyDescent="0.3">
      <c r="B105" s="1" t="s">
        <v>451</v>
      </c>
      <c r="C105" s="1" t="s">
        <v>467</v>
      </c>
      <c r="D105" s="13" t="str">
        <f>IFERROR(VLOOKUP(C105,'BD Total'!$A$1:$H$506,3,0),"")</f>
        <v>Unidad</v>
      </c>
      <c r="E105" s="13">
        <v>96</v>
      </c>
      <c r="F105" s="14">
        <f>IFERROR(VLOOKUP(C105,'BD Total'!$A$1:$H$506,4,0),"")</f>
        <v>1263</v>
      </c>
      <c r="G105" s="54">
        <f t="shared" si="1"/>
        <v>121248</v>
      </c>
      <c r="H105" t="str">
        <f>IFERROR(VLOOKUP(C105,'BD Total'!$A$1:$G$506,6,0),"")</f>
        <v>No</v>
      </c>
      <c r="I105" t="str">
        <f>IFERROR(VLOOKUP(C105,'BD Total'!$A$1:$G$506,7,0),"")</f>
        <v>Si</v>
      </c>
    </row>
    <row r="106" spans="2:10" x14ac:dyDescent="0.3">
      <c r="B106" s="1" t="s">
        <v>451</v>
      </c>
      <c r="C106" s="1" t="s">
        <v>546</v>
      </c>
      <c r="D106" s="13" t="str">
        <f>IFERROR(VLOOKUP(C106,'BD Total'!$A$1:$H$506,3,0),"")</f>
        <v>Unidad</v>
      </c>
      <c r="E106" s="13">
        <v>30</v>
      </c>
      <c r="F106" s="14">
        <f>IFERROR(VLOOKUP(C106,'BD Total'!$A$1:$H$506,4,0),"")</f>
        <v>5151</v>
      </c>
      <c r="G106" s="54">
        <f t="shared" si="1"/>
        <v>154530</v>
      </c>
      <c r="H106" t="str">
        <f>IFERROR(VLOOKUP(C106,'BD Total'!$A$1:$G$506,6,0),"")</f>
        <v>No</v>
      </c>
      <c r="I106" t="str">
        <f>IFERROR(VLOOKUP(C106,'BD Total'!$A$1:$G$506,7,0),"")</f>
        <v>Si</v>
      </c>
    </row>
    <row r="107" spans="2:10" x14ac:dyDescent="0.3">
      <c r="B107" s="1" t="s">
        <v>566</v>
      </c>
      <c r="C107" s="1" t="s">
        <v>567</v>
      </c>
      <c r="D107" s="13" t="str">
        <f>IFERROR(VLOOKUP(C107,'BD Total'!$A$1:$H$506,3,0),"")</f>
        <v>Unidad</v>
      </c>
      <c r="E107" s="13">
        <v>6</v>
      </c>
      <c r="F107" s="14">
        <f>IFERROR(VLOOKUP(C107,'BD Total'!$A$1:$H$506,4,0),"")</f>
        <v>15200</v>
      </c>
      <c r="G107" s="54">
        <f t="shared" si="1"/>
        <v>91200</v>
      </c>
      <c r="H107" t="str">
        <f>IFERROR(VLOOKUP(C107,'BD Total'!$A$1:$G$506,6,0),"")</f>
        <v>No</v>
      </c>
      <c r="I107" t="str">
        <f>IFERROR(VLOOKUP(C107,'BD Total'!$A$1:$G$506,7,0),"")</f>
        <v>Si</v>
      </c>
    </row>
    <row r="108" spans="2:10" x14ac:dyDescent="0.3">
      <c r="B108" s="1" t="s">
        <v>566</v>
      </c>
      <c r="C108" s="1" t="s">
        <v>568</v>
      </c>
      <c r="D108" s="13" t="str">
        <f>IFERROR(VLOOKUP(C108,'BD Total'!$A$1:$H$506,3,0),"")</f>
        <v>Unidad</v>
      </c>
      <c r="E108" s="13">
        <v>6</v>
      </c>
      <c r="F108" s="14">
        <f>IFERROR(VLOOKUP(C108,'BD Total'!$A$1:$H$506,4,0),"")</f>
        <v>69200</v>
      </c>
      <c r="G108" s="54">
        <f t="shared" si="1"/>
        <v>415200</v>
      </c>
      <c r="H108" t="str">
        <f>IFERROR(VLOOKUP(C108,'BD Total'!$A$1:$G$506,6,0),"")</f>
        <v>No</v>
      </c>
      <c r="I108" t="str">
        <f>IFERROR(VLOOKUP(C108,'BD Total'!$A$1:$G$506,7,0),"")</f>
        <v>Si</v>
      </c>
    </row>
    <row r="109" spans="2:10" x14ac:dyDescent="0.3">
      <c r="B109" s="1" t="s">
        <v>566</v>
      </c>
      <c r="C109" s="1" t="s">
        <v>565</v>
      </c>
      <c r="D109" s="13" t="str">
        <f>IFERROR(VLOOKUP(C109,'BD Total'!$A$1:$H$506,3,0),"")</f>
        <v>Unidad</v>
      </c>
      <c r="E109" s="13">
        <v>15</v>
      </c>
      <c r="F109" s="14">
        <f>IFERROR(VLOOKUP(C109,'BD Total'!$A$1:$H$506,4,0),"")</f>
        <v>5900</v>
      </c>
      <c r="G109" s="54">
        <f t="shared" si="1"/>
        <v>88500</v>
      </c>
      <c r="H109" t="str">
        <f>IFERROR(VLOOKUP(C109,'BD Total'!$A$1:$G$506,6,0),"")</f>
        <v>No</v>
      </c>
      <c r="I109" t="str">
        <f>IFERROR(VLOOKUP(C109,'BD Total'!$A$1:$G$506,7,0),"")</f>
        <v>Si</v>
      </c>
    </row>
    <row r="110" spans="2:10" x14ac:dyDescent="0.3">
      <c r="B110" s="1" t="s">
        <v>572</v>
      </c>
      <c r="C110" s="1" t="s">
        <v>569</v>
      </c>
      <c r="D110" s="13" t="str">
        <f>IFERROR(VLOOKUP(C110,'BD Total'!$A$1:$H$506,3,0),"")</f>
        <v>General</v>
      </c>
      <c r="E110" s="13">
        <v>2</v>
      </c>
      <c r="F110" s="14">
        <f>IFERROR(VLOOKUP(C110,'BD Total'!$A$1:$H$506,4,0),"")</f>
        <v>750000</v>
      </c>
      <c r="G110" s="54">
        <f t="shared" si="1"/>
        <v>1500000</v>
      </c>
      <c r="H110" t="str">
        <f>IFERROR(VLOOKUP(C110,'BD Total'!$A$1:$G$506,6,0),"")</f>
        <v>Si</v>
      </c>
      <c r="I110" t="str">
        <f>IFERROR(VLOOKUP(C110,'BD Total'!$A$1:$G$506,7,0),"")</f>
        <v>Si</v>
      </c>
    </row>
    <row r="111" spans="2:10" x14ac:dyDescent="0.3">
      <c r="B111" s="1" t="s">
        <v>572</v>
      </c>
      <c r="C111" s="1" t="s">
        <v>597</v>
      </c>
      <c r="D111" s="13" t="str">
        <f>IFERROR(VLOOKUP(C111,'BD Total'!$A$1:$H$506,3,0),"")</f>
        <v>Unidad</v>
      </c>
      <c r="E111" s="13">
        <v>3</v>
      </c>
      <c r="F111" s="14">
        <f>IFERROR(VLOOKUP(C111,'BD Total'!$A$1:$H$506,4,0),"")</f>
        <v>200000</v>
      </c>
      <c r="G111" s="54">
        <f t="shared" si="1"/>
        <v>600000</v>
      </c>
      <c r="H111" t="str">
        <f>IFERROR(VLOOKUP(C111,'BD Total'!$A$1:$G$506,6,0),"")</f>
        <v>No</v>
      </c>
      <c r="I111" t="str">
        <f>IFERROR(VLOOKUP(C111,'BD Total'!$A$1:$G$506,7,0),"")</f>
        <v>No</v>
      </c>
    </row>
    <row r="112" spans="2:10" x14ac:dyDescent="0.3">
      <c r="B112" s="1" t="s">
        <v>572</v>
      </c>
      <c r="C112" s="1" t="s">
        <v>598</v>
      </c>
      <c r="D112" s="13" t="str">
        <f>IFERROR(VLOOKUP(C112,'BD Total'!$A$1:$H$506,3,0),"")</f>
        <v>Unidad</v>
      </c>
      <c r="E112" s="13">
        <v>1</v>
      </c>
      <c r="F112" s="14">
        <f>IFERROR(VLOOKUP(C112,'BD Total'!$A$1:$H$506,4,0),"")</f>
        <v>300000</v>
      </c>
      <c r="G112" s="54">
        <f t="shared" si="1"/>
        <v>300000</v>
      </c>
      <c r="H112" t="str">
        <f>IFERROR(VLOOKUP(C112,'BD Total'!$A$1:$G$506,6,0),"")</f>
        <v>No</v>
      </c>
      <c r="I112" t="str">
        <f>IFERROR(VLOOKUP(C112,'BD Total'!$A$1:$G$506,7,0),"")</f>
        <v>No</v>
      </c>
    </row>
    <row r="113" spans="2:9" x14ac:dyDescent="0.3">
      <c r="B113" s="1" t="s">
        <v>572</v>
      </c>
      <c r="C113" s="1" t="s">
        <v>583</v>
      </c>
      <c r="D113" s="13" t="str">
        <f>IFERROR(VLOOKUP(C113,'BD Total'!$A$1:$H$506,3,0),"")</f>
        <v>Unidad</v>
      </c>
      <c r="E113" s="13">
        <v>1</v>
      </c>
      <c r="F113" s="14">
        <f>IFERROR(VLOOKUP(C113,'BD Total'!$A$1:$H$506,4,0),"")</f>
        <v>100000</v>
      </c>
      <c r="G113" s="54">
        <f t="shared" si="1"/>
        <v>100000</v>
      </c>
      <c r="H113" t="str">
        <f>IFERROR(VLOOKUP(C113,'BD Total'!$A$1:$G$506,6,0),"")</f>
        <v>No</v>
      </c>
      <c r="I113" t="str">
        <f>IFERROR(VLOOKUP(C113,'BD Total'!$A$1:$G$506,7,0),"")</f>
        <v>No</v>
      </c>
    </row>
    <row r="114" spans="2:9" x14ac:dyDescent="0.3">
      <c r="B114" s="1" t="s">
        <v>572</v>
      </c>
      <c r="C114" s="1" t="s">
        <v>609</v>
      </c>
      <c r="D114" s="13" t="str">
        <f>IFERROR(VLOOKUP(C114,'BD Total'!$A$1:$H$506,3,0),"")</f>
        <v>General</v>
      </c>
      <c r="E114" s="13">
        <v>3</v>
      </c>
      <c r="F114" s="14">
        <f>IFERROR(VLOOKUP(C114,'BD Total'!$A$1:$H$506,4,0),"")</f>
        <v>1900000</v>
      </c>
      <c r="G114" s="54">
        <f t="shared" si="1"/>
        <v>5700000</v>
      </c>
      <c r="H114" t="str">
        <f>IFERROR(VLOOKUP(C114,'BD Total'!$A$1:$G$506,6,0),"")</f>
        <v>No</v>
      </c>
      <c r="I114" t="str">
        <f>IFERROR(VLOOKUP(C114,'BD Total'!$A$1:$G$506,7,0),"")</f>
        <v>No</v>
      </c>
    </row>
    <row r="115" spans="2:9" x14ac:dyDescent="0.3">
      <c r="B115" s="1" t="s">
        <v>572</v>
      </c>
      <c r="C115" s="1" t="s">
        <v>574</v>
      </c>
      <c r="D115" s="13" t="str">
        <f>IFERROR(VLOOKUP(C115,'BD Total'!$A$1:$H$506,3,0),"")</f>
        <v>Unidad</v>
      </c>
      <c r="E115" s="13">
        <v>2</v>
      </c>
      <c r="F115" s="14">
        <f>IFERROR(VLOOKUP(C115,'BD Total'!$A$1:$H$506,4,0),"")</f>
        <v>150000</v>
      </c>
      <c r="G115" s="54">
        <f t="shared" si="1"/>
        <v>300000</v>
      </c>
      <c r="H115" t="str">
        <f>IFERROR(VLOOKUP(C115,'BD Total'!$A$1:$G$506,6,0),"")</f>
        <v>No</v>
      </c>
      <c r="I115" t="str">
        <f>IFERROR(VLOOKUP(C115,'BD Total'!$A$1:$G$506,7,0),"")</f>
        <v>No</v>
      </c>
    </row>
    <row r="116" spans="2:9" x14ac:dyDescent="0.3">
      <c r="B116" s="1" t="s">
        <v>572</v>
      </c>
      <c r="C116" s="1" t="s">
        <v>633</v>
      </c>
      <c r="D116" s="13" t="str">
        <f>IFERROR(VLOOKUP(C116,'BD Total'!$A$1:$H$506,3,0),"")</f>
        <v>Unidad</v>
      </c>
      <c r="E116" s="13">
        <v>2</v>
      </c>
      <c r="F116" s="14">
        <f>IFERROR(VLOOKUP(C116,'BD Total'!$A$1:$H$506,4,0),"")</f>
        <v>500000</v>
      </c>
      <c r="G116" s="54">
        <f t="shared" si="1"/>
        <v>1000000</v>
      </c>
      <c r="H116" t="str">
        <f>IFERROR(VLOOKUP(C116,'BD Total'!$A$1:$G$506,6,0),"")</f>
        <v>no</v>
      </c>
      <c r="I116" t="str">
        <f>IFERROR(VLOOKUP(C116,'BD Total'!$A$1:$G$506,7,0),"")</f>
        <v>No</v>
      </c>
    </row>
    <row r="117" spans="2:9" x14ac:dyDescent="0.3">
      <c r="B117" s="1" t="s">
        <v>572</v>
      </c>
      <c r="C117" s="1" t="s">
        <v>643</v>
      </c>
      <c r="D117" s="13" t="str">
        <f>IFERROR(VLOOKUP(C117,'BD Total'!$A$1:$H$506,3,0),"")</f>
        <v>General</v>
      </c>
      <c r="E117" s="13">
        <v>80</v>
      </c>
      <c r="F117" s="14">
        <f>IFERROR(VLOOKUP(C117,'BD Total'!$A$1:$H$506,4,0),"")</f>
        <v>22000</v>
      </c>
      <c r="G117" s="54">
        <f t="shared" si="1"/>
        <v>1760000</v>
      </c>
      <c r="H117" t="str">
        <f>IFERROR(VLOOKUP(C117,'BD Total'!$A$1:$G$506,6,0),"")</f>
        <v>No</v>
      </c>
      <c r="I117" t="str">
        <f>IFERROR(VLOOKUP(C117,'BD Total'!$A$1:$G$506,7,0),"")</f>
        <v>No</v>
      </c>
    </row>
    <row r="118" spans="2:9" x14ac:dyDescent="0.3">
      <c r="B118" s="1" t="s">
        <v>572</v>
      </c>
      <c r="C118" s="1" t="s">
        <v>586</v>
      </c>
      <c r="D118" s="13" t="str">
        <f>IFERROR(VLOOKUP(C118,'BD Total'!$A$1:$H$506,3,0),"")</f>
        <v>Unidad</v>
      </c>
      <c r="E118" s="13">
        <v>1</v>
      </c>
      <c r="F118" s="14">
        <f>IFERROR(VLOOKUP(C118,'BD Total'!$A$1:$H$506,4,0),"")</f>
        <v>120000</v>
      </c>
      <c r="G118" s="54">
        <f t="shared" si="1"/>
        <v>120000</v>
      </c>
      <c r="H118" t="str">
        <f>IFERROR(VLOOKUP(C118,'BD Total'!$A$1:$G$506,6,0),"")</f>
        <v>Si</v>
      </c>
      <c r="I118" t="str">
        <f>IFERROR(VLOOKUP(C118,'BD Total'!$A$1:$G$506,7,0),"")</f>
        <v>Si</v>
      </c>
    </row>
    <row r="119" spans="2:9" x14ac:dyDescent="0.3">
      <c r="B119" s="1"/>
      <c r="C119" s="1"/>
      <c r="D119" s="13" t="str">
        <f>IFERROR(VLOOKUP(C119,'BD Total'!$A$1:$H$506,3,0),"")</f>
        <v/>
      </c>
      <c r="E119" s="13"/>
      <c r="F119" s="14" t="str">
        <f>IFERROR(VLOOKUP(C119,'BD Total'!$A$1:$H$506,4,0),"")</f>
        <v/>
      </c>
      <c r="G119" s="54" t="str">
        <f t="shared" si="1"/>
        <v/>
      </c>
      <c r="H119" t="str">
        <f>IFERROR(VLOOKUP(C119,'BD Total'!$A$1:$G$506,6,0),"")</f>
        <v/>
      </c>
      <c r="I119" t="str">
        <f>IFERROR(VLOOKUP(C119,'BD Total'!$A$1:$G$506,7,0),"")</f>
        <v/>
      </c>
    </row>
    <row r="120" spans="2:9" x14ac:dyDescent="0.3">
      <c r="B120" s="1" t="s">
        <v>572</v>
      </c>
      <c r="C120" s="1" t="s">
        <v>584</v>
      </c>
      <c r="D120" s="13" t="str">
        <f>IFERROR(VLOOKUP(C120,'BD Total'!$A$1:$H$506,3,0),"")</f>
        <v>Unidad</v>
      </c>
      <c r="E120" s="13">
        <v>2</v>
      </c>
      <c r="F120" s="14">
        <f>IFERROR(VLOOKUP(C120,'BD Total'!$A$1:$H$506,4,0),"")</f>
        <v>100000</v>
      </c>
      <c r="G120" s="54">
        <f t="shared" si="1"/>
        <v>200000</v>
      </c>
      <c r="H120" t="str">
        <f>IFERROR(VLOOKUP(C120,'BD Total'!$A$1:$G$506,6,0),"")</f>
        <v>No</v>
      </c>
      <c r="I120" t="str">
        <f>IFERROR(VLOOKUP(C120,'BD Total'!$A$1:$G$506,7,0),"")</f>
        <v>Si</v>
      </c>
    </row>
    <row r="121" spans="2:9" x14ac:dyDescent="0.3">
      <c r="B121" s="1" t="s">
        <v>572</v>
      </c>
      <c r="C121" s="1" t="s">
        <v>639</v>
      </c>
      <c r="D121" s="13" t="str">
        <f>IFERROR(VLOOKUP(C121,'BD Total'!$A$1:$H$506,3,0),"")</f>
        <v>General</v>
      </c>
      <c r="E121" s="13">
        <v>20</v>
      </c>
      <c r="F121" s="14">
        <f>IFERROR(VLOOKUP(C121,'BD Total'!$A$1:$H$506,4,0),"")</f>
        <v>70000</v>
      </c>
      <c r="G121" s="54">
        <f t="shared" si="1"/>
        <v>1400000</v>
      </c>
      <c r="H121" t="str">
        <f>IFERROR(VLOOKUP(C121,'BD Total'!$A$1:$G$506,6,0),"")</f>
        <v>No</v>
      </c>
      <c r="I121" t="str">
        <f>IFERROR(VLOOKUP(C121,'BD Total'!$A$1:$G$506,7,0),"")</f>
        <v>No</v>
      </c>
    </row>
    <row r="122" spans="2:9" x14ac:dyDescent="0.3">
      <c r="B122" s="1" t="s">
        <v>572</v>
      </c>
      <c r="C122" s="1" t="s">
        <v>601</v>
      </c>
      <c r="D122" s="13" t="str">
        <f>IFERROR(VLOOKUP(C122,'BD Total'!$A$1:$H$506,3,0),"")</f>
        <v>Unidad</v>
      </c>
      <c r="E122" s="13">
        <v>1</v>
      </c>
      <c r="F122" s="14">
        <f>IFERROR(VLOOKUP(C122,'BD Total'!$A$1:$H$506,4,0),"")</f>
        <v>25000</v>
      </c>
      <c r="G122" s="54">
        <f t="shared" si="1"/>
        <v>25000</v>
      </c>
      <c r="H122" t="str">
        <f>IFERROR(VLOOKUP(C122,'BD Total'!$A$1:$G$506,6,0),"")</f>
        <v>No</v>
      </c>
      <c r="I122" t="str">
        <f>IFERROR(VLOOKUP(C122,'BD Total'!$A$1:$G$506,7,0),"")</f>
        <v>No</v>
      </c>
    </row>
    <row r="123" spans="2:9" x14ac:dyDescent="0.3">
      <c r="B123" s="1" t="s">
        <v>572</v>
      </c>
      <c r="C123" s="1" t="s">
        <v>595</v>
      </c>
      <c r="D123" s="13" t="str">
        <f>IFERROR(VLOOKUP(C123,'BD Total'!$A$1:$H$506,3,0),"")</f>
        <v>General</v>
      </c>
      <c r="E123" s="13">
        <v>1</v>
      </c>
      <c r="F123" s="14">
        <f>IFERROR(VLOOKUP(C123,'BD Total'!$A$1:$H$506,4,0),"")</f>
        <v>16000</v>
      </c>
      <c r="G123" s="54">
        <f t="shared" si="1"/>
        <v>16000</v>
      </c>
      <c r="H123" t="str">
        <f>IFERROR(VLOOKUP(C123,'BD Total'!$A$1:$G$506,6,0),"")</f>
        <v>No</v>
      </c>
      <c r="I123" t="str">
        <f>IFERROR(VLOOKUP(C123,'BD Total'!$A$1:$G$506,7,0),"")</f>
        <v>No</v>
      </c>
    </row>
    <row r="124" spans="2:9" x14ac:dyDescent="0.3">
      <c r="B124" s="1" t="s">
        <v>416</v>
      </c>
      <c r="C124" s="1" t="s">
        <v>445</v>
      </c>
      <c r="D124" s="13" t="str">
        <f>IFERROR(VLOOKUP(C124,'BD Total'!$A$1:$H$506,3,0),"")</f>
        <v>Unidad</v>
      </c>
      <c r="E124" s="13">
        <v>1</v>
      </c>
      <c r="F124" s="14">
        <f>IFERROR(VLOOKUP(C124,'BD Total'!$A$1:$H$506,4,0),"")</f>
        <v>14300</v>
      </c>
      <c r="G124" s="54">
        <f t="shared" si="1"/>
        <v>14300</v>
      </c>
      <c r="H124" t="str">
        <f>IFERROR(VLOOKUP(C124,'BD Total'!$A$1:$G$506,6,0),"")</f>
        <v>No</v>
      </c>
      <c r="I124" t="str">
        <f>IFERROR(VLOOKUP(C124,'BD Total'!$A$1:$G$506,7,0),"")</f>
        <v>Si</v>
      </c>
    </row>
    <row r="125" spans="2:9" x14ac:dyDescent="0.3">
      <c r="B125" s="1" t="s">
        <v>572</v>
      </c>
      <c r="C125" s="1" t="s">
        <v>579</v>
      </c>
      <c r="D125" s="13" t="str">
        <f>IFERROR(VLOOKUP(C125,'BD Total'!$A$1:$H$506,3,0),"")</f>
        <v>Unidad</v>
      </c>
      <c r="E125" s="13">
        <v>1</v>
      </c>
      <c r="F125" s="14">
        <f>IFERROR(VLOOKUP(C125,'BD Total'!$A$1:$H$506,4,0),"")</f>
        <v>160000</v>
      </c>
      <c r="G125" s="54">
        <f t="shared" si="1"/>
        <v>160000</v>
      </c>
      <c r="H125" t="str">
        <f>IFERROR(VLOOKUP(C125,'BD Total'!$A$1:$G$506,6,0),"")</f>
        <v>Si</v>
      </c>
      <c r="I125" t="str">
        <f>IFERROR(VLOOKUP(C125,'BD Total'!$A$1:$G$506,7,0),"")</f>
        <v>No</v>
      </c>
    </row>
    <row r="126" spans="2:9" x14ac:dyDescent="0.3">
      <c r="B126" s="1" t="s">
        <v>576</v>
      </c>
      <c r="C126" s="1" t="s">
        <v>708</v>
      </c>
      <c r="D126" s="13" t="str">
        <f>IFERROR(VLOOKUP(C126,'BD Total'!$A$1:$H$506,3,0),"")</f>
        <v>Unidad</v>
      </c>
      <c r="E126" s="13">
        <v>5</v>
      </c>
      <c r="F126" s="14">
        <f>IFERROR(VLOOKUP(C126,'BD Total'!$A$1:$H$506,4,0),"")</f>
        <v>127000</v>
      </c>
      <c r="G126" s="54">
        <f t="shared" si="1"/>
        <v>635000</v>
      </c>
      <c r="H126" t="str">
        <f>IFERROR(VLOOKUP(C126,'BD Total'!$A$1:$G$506,6,0),"")</f>
        <v>Si</v>
      </c>
      <c r="I126" t="str">
        <f>IFERROR(VLOOKUP(C126,'BD Total'!$A$1:$G$506,7,0),"")</f>
        <v>Si</v>
      </c>
    </row>
    <row r="127" spans="2:9" x14ac:dyDescent="0.3">
      <c r="B127" s="1" t="s">
        <v>576</v>
      </c>
      <c r="C127" s="1" t="s">
        <v>663</v>
      </c>
      <c r="D127" s="13" t="str">
        <f>IFERROR(VLOOKUP(C127,'BD Total'!$A$1:$H$506,3,0),"")</f>
        <v>Unidad</v>
      </c>
      <c r="E127" s="13">
        <v>3</v>
      </c>
      <c r="F127" s="14">
        <f>IFERROR(VLOOKUP(C127,'BD Total'!$A$1:$H$506,4,0),"")</f>
        <v>362000</v>
      </c>
      <c r="G127" s="54">
        <f t="shared" si="1"/>
        <v>1086000</v>
      </c>
      <c r="H127" t="str">
        <f>IFERROR(VLOOKUP(C127,'BD Total'!$A$1:$G$506,6,0),"")</f>
        <v>Si</v>
      </c>
      <c r="I127" t="str">
        <f>IFERROR(VLOOKUP(C127,'BD Total'!$A$1:$G$506,7,0),"")</f>
        <v>Si</v>
      </c>
    </row>
    <row r="128" spans="2:9" x14ac:dyDescent="0.3">
      <c r="B128" s="1" t="s">
        <v>576</v>
      </c>
      <c r="C128" s="1" t="s">
        <v>725</v>
      </c>
      <c r="D128" s="13" t="str">
        <f>IFERROR(VLOOKUP(C128,'BD Total'!$A$1:$H$506,3,0),"")</f>
        <v>Unidad</v>
      </c>
      <c r="E128" s="13">
        <v>4</v>
      </c>
      <c r="F128" s="14">
        <f>IFERROR(VLOOKUP(C128,'BD Total'!$A$1:$H$506,4,0),"")</f>
        <v>122000</v>
      </c>
      <c r="G128" s="54">
        <f t="shared" si="1"/>
        <v>488000</v>
      </c>
      <c r="H128" t="str">
        <f>IFERROR(VLOOKUP(C128,'BD Total'!$A$1:$G$506,6,0),"")</f>
        <v>Si</v>
      </c>
      <c r="I128" t="str">
        <f>IFERROR(VLOOKUP(C128,'BD Total'!$A$1:$G$506,7,0),"")</f>
        <v>Si</v>
      </c>
    </row>
    <row r="129" spans="2:9" x14ac:dyDescent="0.3">
      <c r="B129" s="1" t="s">
        <v>416</v>
      </c>
      <c r="C129" s="1" t="s">
        <v>446</v>
      </c>
      <c r="D129" s="13" t="str">
        <f>IFERROR(VLOOKUP(C129,'BD Total'!$A$1:$H$506,3,0),"")</f>
        <v>Unidad</v>
      </c>
      <c r="E129" s="13">
        <v>1</v>
      </c>
      <c r="F129" s="14">
        <f>IFERROR(VLOOKUP(C129,'BD Total'!$A$1:$H$506,4,0),"")</f>
        <v>3350</v>
      </c>
      <c r="G129" s="54">
        <f t="shared" si="1"/>
        <v>3350</v>
      </c>
      <c r="H129" t="str">
        <f>IFERROR(VLOOKUP(C129,'BD Total'!$A$1:$G$506,6,0),"")</f>
        <v>No</v>
      </c>
      <c r="I129" t="str">
        <f>IFERROR(VLOOKUP(C129,'BD Total'!$A$1:$G$506,7,0),"")</f>
        <v>Si</v>
      </c>
    </row>
    <row r="130" spans="2:9" x14ac:dyDescent="0.3">
      <c r="B130" s="1"/>
      <c r="C130" s="1"/>
      <c r="D130" s="13" t="str">
        <f>IFERROR(VLOOKUP(C130,'BD Total'!$A$1:$H$506,3,0),"")</f>
        <v/>
      </c>
      <c r="E130" s="13"/>
      <c r="F130" s="14" t="str">
        <f>IFERROR(VLOOKUP(C130,'BD Total'!$A$1:$H$506,4,0),"")</f>
        <v/>
      </c>
      <c r="G130" s="54" t="str">
        <f t="shared" si="1"/>
        <v/>
      </c>
      <c r="H130" t="str">
        <f>IFERROR(VLOOKUP(C130,'BD Total'!$A$1:$G$506,6,0),"")</f>
        <v/>
      </c>
      <c r="I130" t="str">
        <f>IFERROR(VLOOKUP(C130,'BD Total'!$A$1:$G$506,7,0),"")</f>
        <v/>
      </c>
    </row>
    <row r="131" spans="2:9" x14ac:dyDescent="0.3">
      <c r="B131" s="1"/>
      <c r="C131" s="1"/>
      <c r="D131" s="13" t="str">
        <f>IFERROR(VLOOKUP(C131,'BD Total'!$A$1:$H$506,3,0),"")</f>
        <v/>
      </c>
      <c r="E131" s="13"/>
      <c r="F131" s="14" t="str">
        <f>IFERROR(VLOOKUP(C131,'BD Total'!$A$1:$H$506,4,0),"")</f>
        <v/>
      </c>
      <c r="G131" s="54" t="str">
        <f t="shared" si="1"/>
        <v/>
      </c>
      <c r="H131" t="str">
        <f>IFERROR(VLOOKUP(C131,'BD Total'!$A$1:$G$506,6,0),"")</f>
        <v/>
      </c>
      <c r="I131" t="str">
        <f>IFERROR(VLOOKUP(C131,'BD Total'!$A$1:$G$506,7,0),"")</f>
        <v/>
      </c>
    </row>
    <row r="132" spans="2:9" x14ac:dyDescent="0.3">
      <c r="B132" s="1"/>
      <c r="C132" s="1"/>
      <c r="D132" s="13" t="str">
        <f>IFERROR(VLOOKUP(C132,'BD Total'!$A$1:$H$506,3,0),"")</f>
        <v/>
      </c>
      <c r="E132" s="13"/>
      <c r="F132" s="14" t="str">
        <f>IFERROR(VLOOKUP(C132,'BD Total'!$A$1:$H$506,4,0),"")</f>
        <v/>
      </c>
      <c r="G132" s="54" t="str">
        <f t="shared" si="1"/>
        <v/>
      </c>
      <c r="H132" t="str">
        <f>IFERROR(VLOOKUP(C132,'BD Total'!$A$1:$G$506,6,0),"")</f>
        <v/>
      </c>
      <c r="I132" t="str">
        <f>IFERROR(VLOOKUP(C132,'BD Total'!$A$1:$G$506,7,0),"")</f>
        <v/>
      </c>
    </row>
    <row r="133" spans="2:9" x14ac:dyDescent="0.3">
      <c r="B133" s="1"/>
      <c r="C133" s="1"/>
      <c r="D133" s="13" t="str">
        <f>IFERROR(VLOOKUP(C133,'BD Total'!$A$1:$H$506,3,0),"")</f>
        <v/>
      </c>
      <c r="E133" s="13"/>
      <c r="F133" s="14" t="str">
        <f>IFERROR(VLOOKUP(C133,'BD Total'!$A$1:$H$506,4,0),"")</f>
        <v/>
      </c>
      <c r="G133" s="54" t="str">
        <f t="shared" si="1"/>
        <v/>
      </c>
      <c r="H133" t="str">
        <f>IFERROR(VLOOKUP(C133,'BD Total'!$A$1:$G$506,6,0),"")</f>
        <v/>
      </c>
      <c r="I133" t="str">
        <f>IFERROR(VLOOKUP(C133,'BD Total'!$A$1:$G$506,7,0),"")</f>
        <v/>
      </c>
    </row>
    <row r="134" spans="2:9" x14ac:dyDescent="0.3">
      <c r="B134" s="1"/>
      <c r="C134" s="1"/>
      <c r="D134" s="13" t="str">
        <f>IFERROR(VLOOKUP(C134,'BD Total'!$A$1:$H$506,3,0),"")</f>
        <v/>
      </c>
      <c r="E134" s="13"/>
      <c r="F134" s="14" t="str">
        <f>IFERROR(VLOOKUP(C134,'BD Total'!$A$1:$H$506,4,0),"")</f>
        <v/>
      </c>
      <c r="G134" s="54" t="str">
        <f t="shared" si="1"/>
        <v/>
      </c>
      <c r="H134" t="str">
        <f>IFERROR(VLOOKUP(C134,'BD Total'!$A$1:$G$506,6,0),"")</f>
        <v/>
      </c>
      <c r="I134" t="str">
        <f>IFERROR(VLOOKUP(C134,'BD Total'!$A$1:$G$506,7,0),"")</f>
        <v/>
      </c>
    </row>
    <row r="135" spans="2:9" x14ac:dyDescent="0.3">
      <c r="B135" s="1"/>
      <c r="C135" s="1"/>
      <c r="D135" s="13" t="str">
        <f>IFERROR(VLOOKUP(C135,'BD Total'!$A$1:$H$506,3,0),"")</f>
        <v/>
      </c>
      <c r="E135" s="13"/>
      <c r="F135" s="14" t="str">
        <f>IFERROR(VLOOKUP(C135,'BD Total'!$A$1:$H$506,4,0),"")</f>
        <v/>
      </c>
      <c r="G135" s="54" t="str">
        <f t="shared" si="1"/>
        <v/>
      </c>
      <c r="H135" t="str">
        <f>IFERROR(VLOOKUP(C135,'BD Total'!$A$1:$G$506,6,0),"")</f>
        <v/>
      </c>
      <c r="I135" t="str">
        <f>IFERROR(VLOOKUP(C135,'BD Total'!$A$1:$G$506,7,0),"")</f>
        <v/>
      </c>
    </row>
    <row r="136" spans="2:9" x14ac:dyDescent="0.3">
      <c r="B136" s="1"/>
      <c r="C136" s="1"/>
      <c r="D136" s="13" t="str">
        <f>IFERROR(VLOOKUP(C136,'BD Total'!$A$1:$H$506,3,0),"")</f>
        <v/>
      </c>
      <c r="E136" s="13"/>
      <c r="F136" s="14" t="str">
        <f>IFERROR(VLOOKUP(C136,'BD Total'!$A$1:$H$506,4,0),"")</f>
        <v/>
      </c>
      <c r="G136" s="54" t="str">
        <f t="shared" si="1"/>
        <v/>
      </c>
      <c r="H136" t="str">
        <f>IFERROR(VLOOKUP(C136,'BD Total'!$A$1:$G$506,6,0),"")</f>
        <v/>
      </c>
      <c r="I136" t="str">
        <f>IFERROR(VLOOKUP(C136,'BD Total'!$A$1:$G$506,7,0),"")</f>
        <v/>
      </c>
    </row>
    <row r="137" spans="2:9" x14ac:dyDescent="0.3">
      <c r="B137" s="1"/>
      <c r="C137" s="1"/>
      <c r="D137" s="13" t="str">
        <f>IFERROR(VLOOKUP(C137,'BD Total'!$A$1:$H$506,3,0),"")</f>
        <v/>
      </c>
      <c r="E137" s="13"/>
      <c r="F137" s="14" t="str">
        <f>IFERROR(VLOOKUP(C137,'BD Total'!$A$1:$H$506,4,0),"")</f>
        <v/>
      </c>
      <c r="G137" s="54" t="str">
        <f t="shared" si="1"/>
        <v/>
      </c>
      <c r="H137" t="str">
        <f>IFERROR(VLOOKUP(C137,'BD Total'!$A$1:$G$506,6,0),"")</f>
        <v/>
      </c>
      <c r="I137" t="str">
        <f>IFERROR(VLOOKUP(C137,'BD Total'!$A$1:$G$506,7,0),"")</f>
        <v/>
      </c>
    </row>
    <row r="138" spans="2:9" x14ac:dyDescent="0.3">
      <c r="B138" s="1"/>
      <c r="C138" s="1"/>
      <c r="D138" s="13" t="str">
        <f>IFERROR(VLOOKUP(C138,'BD Total'!$A$1:$H$506,3,0),"")</f>
        <v/>
      </c>
      <c r="E138" s="13"/>
      <c r="F138" s="14" t="str">
        <f>IFERROR(VLOOKUP(C138,'BD Total'!$A$1:$H$506,4,0),"")</f>
        <v/>
      </c>
      <c r="G138" s="54" t="str">
        <f t="shared" si="1"/>
        <v/>
      </c>
      <c r="H138" t="str">
        <f>IFERROR(VLOOKUP(C138,'BD Total'!$A$1:$G$506,6,0),"")</f>
        <v/>
      </c>
      <c r="I138" t="str">
        <f>IFERROR(VLOOKUP(C138,'BD Total'!$A$1:$G$506,7,0),"")</f>
        <v/>
      </c>
    </row>
    <row r="139" spans="2:9" x14ac:dyDescent="0.3">
      <c r="B139" s="1"/>
      <c r="C139" s="1"/>
      <c r="D139" s="13" t="str">
        <f>IFERROR(VLOOKUP(C139,'BD Total'!$A$1:$H$506,3,0),"")</f>
        <v/>
      </c>
      <c r="E139" s="13"/>
      <c r="F139" s="14" t="str">
        <f>IFERROR(VLOOKUP(C139,'BD Total'!$A$1:$H$506,4,0),"")</f>
        <v/>
      </c>
      <c r="G139" s="54" t="str">
        <f t="shared" si="1"/>
        <v/>
      </c>
      <c r="H139" t="str">
        <f>IFERROR(VLOOKUP(C139,'BD Total'!$A$1:$G$506,6,0),"")</f>
        <v/>
      </c>
      <c r="I139" t="str">
        <f>IFERROR(VLOOKUP(C139,'BD Total'!$A$1:$G$506,7,0),"")</f>
        <v/>
      </c>
    </row>
    <row r="140" spans="2:9" x14ac:dyDescent="0.3">
      <c r="B140" s="1"/>
      <c r="C140" s="1"/>
      <c r="D140" s="13" t="str">
        <f>IFERROR(VLOOKUP(C140,'BD Total'!$A$1:$H$506,3,0),"")</f>
        <v/>
      </c>
      <c r="E140" s="13"/>
      <c r="F140" s="14" t="str">
        <f>IFERROR(VLOOKUP(C140,'BD Total'!$A$1:$H$506,4,0),"")</f>
        <v/>
      </c>
      <c r="G140" s="54" t="str">
        <f t="shared" si="1"/>
        <v/>
      </c>
      <c r="H140" t="str">
        <f>IFERROR(VLOOKUP(C140,'BD Total'!$A$1:$G$506,6,0),"")</f>
        <v/>
      </c>
      <c r="I140" t="str">
        <f>IFERROR(VLOOKUP(C140,'BD Total'!$A$1:$G$506,7,0),"")</f>
        <v/>
      </c>
    </row>
    <row r="141" spans="2:9" x14ac:dyDescent="0.3">
      <c r="B141" s="1"/>
      <c r="C141" s="1"/>
      <c r="D141" s="13" t="str">
        <f>IFERROR(VLOOKUP(C141,'BD Total'!$A$1:$H$506,3,0),"")</f>
        <v/>
      </c>
      <c r="E141" s="13"/>
      <c r="F141" s="14" t="str">
        <f>IFERROR(VLOOKUP(C141,'BD Total'!$A$1:$H$506,4,0),"")</f>
        <v/>
      </c>
      <c r="G141" s="54" t="str">
        <f t="shared" si="1"/>
        <v/>
      </c>
      <c r="H141" t="str">
        <f>IFERROR(VLOOKUP(C141,'BD Total'!$A$1:$G$506,6,0),"")</f>
        <v/>
      </c>
      <c r="I141" t="str">
        <f>IFERROR(VLOOKUP(C141,'BD Total'!$A$1:$G$506,7,0),"")</f>
        <v/>
      </c>
    </row>
    <row r="142" spans="2:9" x14ac:dyDescent="0.3">
      <c r="B142" s="1"/>
      <c r="C142" s="1"/>
      <c r="D142" s="13" t="str">
        <f>IFERROR(VLOOKUP(C142,'BD Total'!$A$1:$H$506,3,0),"")</f>
        <v/>
      </c>
      <c r="E142" s="13"/>
      <c r="F142" s="14" t="str">
        <f>IFERROR(VLOOKUP(C142,'BD Total'!$A$1:$H$506,4,0),"")</f>
        <v/>
      </c>
      <c r="G142" s="54" t="str">
        <f t="shared" ref="G142:G181" si="2">IFERROR(F142*E142,"")</f>
        <v/>
      </c>
      <c r="H142" t="str">
        <f>IFERROR(VLOOKUP(C142,'BD Total'!$A$1:$G$506,6,0),"")</f>
        <v/>
      </c>
      <c r="I142" t="str">
        <f>IFERROR(VLOOKUP(C142,'BD Total'!$A$1:$G$506,7,0),"")</f>
        <v/>
      </c>
    </row>
    <row r="143" spans="2:9" x14ac:dyDescent="0.3">
      <c r="B143" s="1"/>
      <c r="C143" s="1"/>
      <c r="D143" s="13" t="str">
        <f>IFERROR(VLOOKUP(C143,'BD Total'!$A$1:$H$506,3,0),"")</f>
        <v/>
      </c>
      <c r="E143" s="13"/>
      <c r="F143" s="14" t="str">
        <f>IFERROR(VLOOKUP(C143,'BD Total'!$A$1:$H$506,4,0),"")</f>
        <v/>
      </c>
      <c r="G143" s="54" t="str">
        <f t="shared" si="2"/>
        <v/>
      </c>
      <c r="H143" t="str">
        <f>IFERROR(VLOOKUP(C143,'BD Total'!$A$1:$G$506,6,0),"")</f>
        <v/>
      </c>
      <c r="I143" t="str">
        <f>IFERROR(VLOOKUP(C143,'BD Total'!$A$1:$G$506,7,0),"")</f>
        <v/>
      </c>
    </row>
    <row r="144" spans="2:9" x14ac:dyDescent="0.3">
      <c r="B144" s="1"/>
      <c r="C144" s="1"/>
      <c r="D144" s="13" t="str">
        <f>IFERROR(VLOOKUP(C144,'BD Total'!$A$1:$H$506,3,0),"")</f>
        <v/>
      </c>
      <c r="E144" s="13"/>
      <c r="F144" s="14" t="str">
        <f>IFERROR(VLOOKUP(C144,'BD Total'!$A$1:$H$506,4,0),"")</f>
        <v/>
      </c>
      <c r="G144" s="54" t="str">
        <f t="shared" si="2"/>
        <v/>
      </c>
      <c r="H144" t="str">
        <f>IFERROR(VLOOKUP(C144,'BD Total'!$A$1:$G$506,6,0),"")</f>
        <v/>
      </c>
      <c r="I144" t="str">
        <f>IFERROR(VLOOKUP(C144,'BD Total'!$A$1:$G$506,7,0),"")</f>
        <v/>
      </c>
    </row>
    <row r="145" spans="2:9" x14ac:dyDescent="0.3">
      <c r="B145" s="1"/>
      <c r="C145" s="1"/>
      <c r="D145" s="13" t="str">
        <f>IFERROR(VLOOKUP(C145,'BD Total'!$A$1:$H$506,3,0),"")</f>
        <v/>
      </c>
      <c r="E145" s="13"/>
      <c r="F145" s="14" t="str">
        <f>IFERROR(VLOOKUP(C145,'BD Total'!$A$1:$H$506,4,0),"")</f>
        <v/>
      </c>
      <c r="G145" s="54" t="str">
        <f t="shared" si="2"/>
        <v/>
      </c>
      <c r="H145" t="str">
        <f>IFERROR(VLOOKUP(C145,'BD Total'!$A$1:$G$506,6,0),"")</f>
        <v/>
      </c>
      <c r="I145" t="str">
        <f>IFERROR(VLOOKUP(C145,'BD Total'!$A$1:$G$506,7,0),"")</f>
        <v/>
      </c>
    </row>
    <row r="146" spans="2:9" x14ac:dyDescent="0.3">
      <c r="B146" s="1"/>
      <c r="C146" s="1"/>
      <c r="D146" s="13" t="str">
        <f>IFERROR(VLOOKUP(C146,'BD Total'!$A$1:$H$506,3,0),"")</f>
        <v/>
      </c>
      <c r="E146" s="13"/>
      <c r="F146" s="14" t="str">
        <f>IFERROR(VLOOKUP(C146,'BD Total'!$A$1:$H$506,4,0),"")</f>
        <v/>
      </c>
      <c r="G146" s="54" t="str">
        <f t="shared" si="2"/>
        <v/>
      </c>
      <c r="H146" t="str">
        <f>IFERROR(VLOOKUP(C146,'BD Total'!$A$1:$G$506,6,0),"")</f>
        <v/>
      </c>
      <c r="I146" t="str">
        <f>IFERROR(VLOOKUP(C146,'BD Total'!$A$1:$G$506,7,0),"")</f>
        <v/>
      </c>
    </row>
    <row r="147" spans="2:9" x14ac:dyDescent="0.3">
      <c r="B147" s="1"/>
      <c r="C147" s="1"/>
      <c r="D147" s="13" t="str">
        <f>IFERROR(VLOOKUP(C147,'BD Total'!$A$1:$H$506,3,0),"")</f>
        <v/>
      </c>
      <c r="E147" s="13"/>
      <c r="F147" s="14" t="str">
        <f>IFERROR(VLOOKUP(C147,'BD Total'!$A$1:$H$506,4,0),"")</f>
        <v/>
      </c>
      <c r="G147" s="54" t="str">
        <f t="shared" si="2"/>
        <v/>
      </c>
      <c r="H147" t="str">
        <f>IFERROR(VLOOKUP(C147,'BD Total'!$A$1:$G$506,6,0),"")</f>
        <v/>
      </c>
      <c r="I147" t="str">
        <f>IFERROR(VLOOKUP(C147,'BD Total'!$A$1:$G$506,7,0),"")</f>
        <v/>
      </c>
    </row>
    <row r="148" spans="2:9" x14ac:dyDescent="0.3">
      <c r="B148" s="1"/>
      <c r="C148" s="1"/>
      <c r="D148" s="13" t="str">
        <f>IFERROR(VLOOKUP(C148,'BD Total'!$A$1:$H$506,3,0),"")</f>
        <v/>
      </c>
      <c r="E148" s="13"/>
      <c r="F148" s="14" t="str">
        <f>IFERROR(VLOOKUP(C148,'BD Total'!$A$1:$H$506,4,0),"")</f>
        <v/>
      </c>
      <c r="G148" s="54" t="str">
        <f t="shared" si="2"/>
        <v/>
      </c>
      <c r="H148" t="str">
        <f>IFERROR(VLOOKUP(C148,'BD Total'!$A$1:$G$506,6,0),"")</f>
        <v/>
      </c>
      <c r="I148" t="str">
        <f>IFERROR(VLOOKUP(C148,'BD Total'!$A$1:$G$506,7,0),"")</f>
        <v/>
      </c>
    </row>
    <row r="149" spans="2:9" x14ac:dyDescent="0.3">
      <c r="B149" s="1"/>
      <c r="C149" s="1"/>
      <c r="D149" s="13" t="str">
        <f>IFERROR(VLOOKUP(C149,'BD Total'!$A$1:$H$506,3,0),"")</f>
        <v/>
      </c>
      <c r="E149" s="13"/>
      <c r="F149" s="14" t="str">
        <f>IFERROR(VLOOKUP(C149,'BD Total'!$A$1:$H$506,4,0),"")</f>
        <v/>
      </c>
      <c r="G149" s="54" t="str">
        <f t="shared" si="2"/>
        <v/>
      </c>
      <c r="H149" t="str">
        <f>IFERROR(VLOOKUP(C149,'BD Total'!$A$1:$G$506,6,0),"")</f>
        <v/>
      </c>
      <c r="I149" t="str">
        <f>IFERROR(VLOOKUP(C149,'BD Total'!$A$1:$G$506,7,0),"")</f>
        <v/>
      </c>
    </row>
    <row r="150" spans="2:9" x14ac:dyDescent="0.3">
      <c r="B150" s="1"/>
      <c r="C150" s="1"/>
      <c r="D150" s="13" t="str">
        <f>IFERROR(VLOOKUP(C150,'BD Total'!$A$1:$H$506,3,0),"")</f>
        <v/>
      </c>
      <c r="E150" s="13"/>
      <c r="F150" s="14" t="str">
        <f>IFERROR(VLOOKUP(C150,'BD Total'!$A$1:$H$506,4,0),"")</f>
        <v/>
      </c>
      <c r="G150" s="54" t="str">
        <f t="shared" si="2"/>
        <v/>
      </c>
      <c r="H150" t="str">
        <f>IFERROR(VLOOKUP(C150,'BD Total'!$A$1:$G$506,6,0),"")</f>
        <v/>
      </c>
      <c r="I150" t="str">
        <f>IFERROR(VLOOKUP(C150,'BD Total'!$A$1:$G$506,7,0),"")</f>
        <v/>
      </c>
    </row>
    <row r="151" spans="2:9" x14ac:dyDescent="0.3">
      <c r="B151" s="1"/>
      <c r="C151" s="1"/>
      <c r="D151" s="13" t="str">
        <f>IFERROR(VLOOKUP(C151,'BD Total'!$A$1:$H$506,3,0),"")</f>
        <v/>
      </c>
      <c r="E151" s="13"/>
      <c r="F151" s="14" t="str">
        <f>IFERROR(VLOOKUP(C151,'BD Total'!$A$1:$H$506,4,0),"")</f>
        <v/>
      </c>
      <c r="G151" s="54" t="str">
        <f t="shared" si="2"/>
        <v/>
      </c>
      <c r="H151" t="str">
        <f>IFERROR(VLOOKUP(C151,'BD Total'!$A$1:$G$506,6,0),"")</f>
        <v/>
      </c>
      <c r="I151" t="str">
        <f>IFERROR(VLOOKUP(C151,'BD Total'!$A$1:$G$506,7,0),"")</f>
        <v/>
      </c>
    </row>
    <row r="152" spans="2:9" x14ac:dyDescent="0.3">
      <c r="B152" s="1"/>
      <c r="C152" s="1"/>
      <c r="D152" s="13" t="str">
        <f>IFERROR(VLOOKUP(C152,'BD Total'!$A$1:$H$506,3,0),"")</f>
        <v/>
      </c>
      <c r="E152" s="13"/>
      <c r="F152" s="14" t="str">
        <f>IFERROR(VLOOKUP(C152,'BD Total'!$A$1:$H$506,4,0),"")</f>
        <v/>
      </c>
      <c r="G152" s="54" t="str">
        <f t="shared" si="2"/>
        <v/>
      </c>
      <c r="H152" t="str">
        <f>IFERROR(VLOOKUP(C152,'BD Total'!$A$1:$G$506,6,0),"")</f>
        <v/>
      </c>
      <c r="I152" t="str">
        <f>IFERROR(VLOOKUP(C152,'BD Total'!$A$1:$G$506,7,0),"")</f>
        <v/>
      </c>
    </row>
    <row r="153" spans="2:9" x14ac:dyDescent="0.3">
      <c r="B153" s="1"/>
      <c r="C153" s="1"/>
      <c r="D153" s="13" t="str">
        <f>IFERROR(VLOOKUP(C153,'BD Total'!$A$1:$H$506,3,0),"")</f>
        <v/>
      </c>
      <c r="E153" s="13"/>
      <c r="F153" s="14" t="str">
        <f>IFERROR(VLOOKUP(C153,'BD Total'!$A$1:$H$506,4,0),"")</f>
        <v/>
      </c>
      <c r="G153" s="54" t="str">
        <f t="shared" si="2"/>
        <v/>
      </c>
      <c r="H153" t="str">
        <f>IFERROR(VLOOKUP(C153,'BD Total'!$A$1:$G$506,6,0),"")</f>
        <v/>
      </c>
      <c r="I153" t="str">
        <f>IFERROR(VLOOKUP(C153,'BD Total'!$A$1:$G$506,7,0),"")</f>
        <v/>
      </c>
    </row>
    <row r="154" spans="2:9" x14ac:dyDescent="0.3">
      <c r="B154" s="1"/>
      <c r="C154" s="1"/>
      <c r="D154" s="13" t="str">
        <f>IFERROR(VLOOKUP(C154,'BD Total'!$A$1:$H$506,3,0),"")</f>
        <v/>
      </c>
      <c r="E154" s="13"/>
      <c r="F154" s="14" t="str">
        <f>IFERROR(VLOOKUP(C154,'BD Total'!$A$1:$H$506,4,0),"")</f>
        <v/>
      </c>
      <c r="G154" s="54" t="str">
        <f t="shared" si="2"/>
        <v/>
      </c>
      <c r="H154" t="str">
        <f>IFERROR(VLOOKUP(C154,'BD Total'!$A$1:$G$506,6,0),"")</f>
        <v/>
      </c>
      <c r="I154" t="str">
        <f>IFERROR(VLOOKUP(C154,'BD Total'!$A$1:$G$506,7,0),"")</f>
        <v/>
      </c>
    </row>
    <row r="155" spans="2:9" x14ac:dyDescent="0.3">
      <c r="B155" s="1"/>
      <c r="C155" s="1"/>
      <c r="D155" s="13" t="str">
        <f>IFERROR(VLOOKUP(C155,'BD Total'!$A$1:$H$506,3,0),"")</f>
        <v/>
      </c>
      <c r="E155" s="13"/>
      <c r="F155" s="14" t="str">
        <f>IFERROR(VLOOKUP(C155,'BD Total'!$A$1:$H$506,4,0),"")</f>
        <v/>
      </c>
      <c r="G155" s="54" t="str">
        <f t="shared" si="2"/>
        <v/>
      </c>
      <c r="H155" t="str">
        <f>IFERROR(VLOOKUP(C155,'BD Total'!$A$1:$G$506,6,0),"")</f>
        <v/>
      </c>
      <c r="I155" t="str">
        <f>IFERROR(VLOOKUP(C155,'BD Total'!$A$1:$G$506,7,0),"")</f>
        <v/>
      </c>
    </row>
    <row r="156" spans="2:9" x14ac:dyDescent="0.3">
      <c r="B156" s="1"/>
      <c r="C156" s="1"/>
      <c r="D156" s="13" t="str">
        <f>IFERROR(VLOOKUP(C156,'BD Total'!$A$1:$H$506,3,0),"")</f>
        <v/>
      </c>
      <c r="E156" s="13"/>
      <c r="F156" s="14" t="str">
        <f>IFERROR(VLOOKUP(C156,'BD Total'!$A$1:$H$506,4,0),"")</f>
        <v/>
      </c>
      <c r="G156" s="54" t="str">
        <f t="shared" si="2"/>
        <v/>
      </c>
      <c r="H156" t="str">
        <f>IFERROR(VLOOKUP(C156,'BD Total'!$A$1:$G$506,6,0),"")</f>
        <v/>
      </c>
      <c r="I156" t="str">
        <f>IFERROR(VLOOKUP(C156,'BD Total'!$A$1:$G$506,7,0),"")</f>
        <v/>
      </c>
    </row>
    <row r="157" spans="2:9" x14ac:dyDescent="0.3">
      <c r="B157" s="1"/>
      <c r="C157" s="1"/>
      <c r="D157" s="13" t="str">
        <f>IFERROR(VLOOKUP(C157,'BD Total'!$A$1:$H$506,3,0),"")</f>
        <v/>
      </c>
      <c r="E157" s="13"/>
      <c r="F157" s="14" t="str">
        <f>IFERROR(VLOOKUP(C157,'BD Total'!$A$1:$H$506,4,0),"")</f>
        <v/>
      </c>
      <c r="G157" s="54" t="str">
        <f t="shared" si="2"/>
        <v/>
      </c>
      <c r="H157" t="str">
        <f>IFERROR(VLOOKUP(C157,'BD Total'!$A$1:$G$506,6,0),"")</f>
        <v/>
      </c>
      <c r="I157" t="str">
        <f>IFERROR(VLOOKUP(C157,'BD Total'!$A$1:$G$506,7,0),"")</f>
        <v/>
      </c>
    </row>
    <row r="158" spans="2:9" x14ac:dyDescent="0.3">
      <c r="B158" s="1"/>
      <c r="C158" s="1"/>
      <c r="D158" s="13" t="str">
        <f>IFERROR(VLOOKUP(C158,'BD Total'!$A$1:$H$506,3,0),"")</f>
        <v/>
      </c>
      <c r="E158" s="13"/>
      <c r="F158" s="14" t="str">
        <f>IFERROR(VLOOKUP(C158,'BD Total'!$A$1:$H$506,4,0),"")</f>
        <v/>
      </c>
      <c r="G158" s="54" t="str">
        <f t="shared" si="2"/>
        <v/>
      </c>
      <c r="H158" t="str">
        <f>IFERROR(VLOOKUP(C158,'BD Total'!$A$1:$G$506,6,0),"")</f>
        <v/>
      </c>
      <c r="I158" t="str">
        <f>IFERROR(VLOOKUP(C158,'BD Total'!$A$1:$G$506,7,0),"")</f>
        <v/>
      </c>
    </row>
    <row r="159" spans="2:9" x14ac:dyDescent="0.3">
      <c r="B159" s="1"/>
      <c r="C159" s="1"/>
      <c r="D159" s="13" t="str">
        <f>IFERROR(VLOOKUP(C159,'BD Total'!$A$1:$H$506,3,0),"")</f>
        <v/>
      </c>
      <c r="E159" s="13"/>
      <c r="F159" s="14" t="str">
        <f>IFERROR(VLOOKUP(C159,'BD Total'!$A$1:$H$506,4,0),"")</f>
        <v/>
      </c>
      <c r="G159" s="54" t="str">
        <f t="shared" si="2"/>
        <v/>
      </c>
      <c r="H159" t="str">
        <f>IFERROR(VLOOKUP(C159,'BD Total'!$A$1:$G$506,6,0),"")</f>
        <v/>
      </c>
      <c r="I159" t="str">
        <f>IFERROR(VLOOKUP(C159,'BD Total'!$A$1:$G$506,7,0),"")</f>
        <v/>
      </c>
    </row>
    <row r="160" spans="2:9" x14ac:dyDescent="0.3">
      <c r="B160" s="1"/>
      <c r="C160" s="1"/>
      <c r="D160" s="13" t="str">
        <f>IFERROR(VLOOKUP(C160,'BD Total'!$A$1:$H$506,3,0),"")</f>
        <v/>
      </c>
      <c r="E160" s="13"/>
      <c r="F160" s="14" t="str">
        <f>IFERROR(VLOOKUP(C160,'BD Total'!$A$1:$H$506,4,0),"")</f>
        <v/>
      </c>
      <c r="G160" s="54" t="str">
        <f t="shared" si="2"/>
        <v/>
      </c>
      <c r="H160" t="str">
        <f>IFERROR(VLOOKUP(C160,'BD Total'!$A$1:$G$506,6,0),"")</f>
        <v/>
      </c>
      <c r="I160" t="str">
        <f>IFERROR(VLOOKUP(C160,'BD Total'!$A$1:$G$506,7,0),"")</f>
        <v/>
      </c>
    </row>
    <row r="161" spans="2:9" x14ac:dyDescent="0.3">
      <c r="B161" s="1"/>
      <c r="C161" s="1"/>
      <c r="D161" s="13" t="str">
        <f>IFERROR(VLOOKUP(C161,'BD Total'!$A$1:$H$506,3,0),"")</f>
        <v/>
      </c>
      <c r="E161" s="13"/>
      <c r="F161" s="14" t="str">
        <f>IFERROR(VLOOKUP(C161,'BD Total'!$A$1:$H$506,4,0),"")</f>
        <v/>
      </c>
      <c r="G161" s="54" t="str">
        <f t="shared" si="2"/>
        <v/>
      </c>
      <c r="H161" t="str">
        <f>IFERROR(VLOOKUP(C161,'BD Total'!$A$1:$G$506,6,0),"")</f>
        <v/>
      </c>
      <c r="I161" t="str">
        <f>IFERROR(VLOOKUP(C161,'BD Total'!$A$1:$G$506,7,0),"")</f>
        <v/>
      </c>
    </row>
    <row r="162" spans="2:9" x14ac:dyDescent="0.3">
      <c r="B162" s="1"/>
      <c r="C162" s="1"/>
      <c r="D162" s="13" t="str">
        <f>IFERROR(VLOOKUP(C162,'BD Total'!$A$1:$H$506,3,0),"")</f>
        <v/>
      </c>
      <c r="E162" s="13"/>
      <c r="F162" s="14" t="str">
        <f>IFERROR(VLOOKUP(C162,'BD Total'!$A$1:$H$506,4,0),"")</f>
        <v/>
      </c>
      <c r="G162" s="54" t="str">
        <f t="shared" si="2"/>
        <v/>
      </c>
      <c r="H162" t="str">
        <f>IFERROR(VLOOKUP(C162,'BD Total'!$A$1:$G$506,6,0),"")</f>
        <v/>
      </c>
      <c r="I162" t="str">
        <f>IFERROR(VLOOKUP(C162,'BD Total'!$A$1:$G$506,7,0),"")</f>
        <v/>
      </c>
    </row>
    <row r="163" spans="2:9" x14ac:dyDescent="0.3">
      <c r="B163" s="1"/>
      <c r="C163" s="1"/>
      <c r="D163" s="13" t="str">
        <f>IFERROR(VLOOKUP(C163,'BD Total'!$A$1:$H$506,3,0),"")</f>
        <v/>
      </c>
      <c r="E163" s="13"/>
      <c r="F163" s="14" t="str">
        <f>IFERROR(VLOOKUP(C163,'BD Total'!$A$1:$H$506,4,0),"")</f>
        <v/>
      </c>
      <c r="G163" s="54" t="str">
        <f t="shared" si="2"/>
        <v/>
      </c>
      <c r="H163" t="str">
        <f>IFERROR(VLOOKUP(C163,'BD Total'!$A$1:$G$506,6,0),"")</f>
        <v/>
      </c>
      <c r="I163" t="str">
        <f>IFERROR(VLOOKUP(C163,'BD Total'!$A$1:$G$506,7,0),"")</f>
        <v/>
      </c>
    </row>
    <row r="164" spans="2:9" x14ac:dyDescent="0.3">
      <c r="B164" s="1"/>
      <c r="C164" s="1"/>
      <c r="D164" s="13" t="str">
        <f>IFERROR(VLOOKUP(C164,'BD Total'!$A$1:$H$506,3,0),"")</f>
        <v/>
      </c>
      <c r="E164" s="13"/>
      <c r="F164" s="14" t="str">
        <f>IFERROR(VLOOKUP(C164,'BD Total'!$A$1:$H$506,4,0),"")</f>
        <v/>
      </c>
      <c r="G164" s="54" t="str">
        <f t="shared" si="2"/>
        <v/>
      </c>
      <c r="H164" t="str">
        <f>IFERROR(VLOOKUP(C164,'BD Total'!$A$1:$G$506,6,0),"")</f>
        <v/>
      </c>
      <c r="I164" t="str">
        <f>IFERROR(VLOOKUP(C164,'BD Total'!$A$1:$G$506,7,0),"")</f>
        <v/>
      </c>
    </row>
    <row r="165" spans="2:9" x14ac:dyDescent="0.3">
      <c r="B165" s="1"/>
      <c r="C165" s="1"/>
      <c r="D165" s="13" t="str">
        <f>IFERROR(VLOOKUP(C165,'BD Total'!$A$1:$H$506,3,0),"")</f>
        <v/>
      </c>
      <c r="E165" s="13"/>
      <c r="F165" s="14" t="str">
        <f>IFERROR(VLOOKUP(C165,'BD Total'!$A$1:$H$506,4,0),"")</f>
        <v/>
      </c>
      <c r="G165" s="54" t="str">
        <f t="shared" si="2"/>
        <v/>
      </c>
      <c r="H165" t="str">
        <f>IFERROR(VLOOKUP(C165,'BD Total'!$A$1:$G$506,6,0),"")</f>
        <v/>
      </c>
      <c r="I165" t="str">
        <f>IFERROR(VLOOKUP(C165,'BD Total'!$A$1:$G$506,7,0),"")</f>
        <v/>
      </c>
    </row>
    <row r="166" spans="2:9" x14ac:dyDescent="0.3">
      <c r="B166" s="1"/>
      <c r="C166" s="1"/>
      <c r="D166" s="13" t="str">
        <f>IFERROR(VLOOKUP(C166,'BD Total'!$A$1:$H$506,3,0),"")</f>
        <v/>
      </c>
      <c r="E166" s="13"/>
      <c r="F166" s="14" t="str">
        <f>IFERROR(VLOOKUP(C166,'BD Total'!$A$1:$H$506,4,0),"")</f>
        <v/>
      </c>
      <c r="G166" s="54" t="str">
        <f t="shared" si="2"/>
        <v/>
      </c>
      <c r="H166" t="str">
        <f>IFERROR(VLOOKUP(C166,'BD Total'!$A$1:$G$506,6,0),"")</f>
        <v/>
      </c>
      <c r="I166" t="str">
        <f>IFERROR(VLOOKUP(C166,'BD Total'!$A$1:$G$506,7,0),"")</f>
        <v/>
      </c>
    </row>
    <row r="167" spans="2:9" x14ac:dyDescent="0.3">
      <c r="B167" s="1"/>
      <c r="C167" s="1"/>
      <c r="D167" s="13" t="str">
        <f>IFERROR(VLOOKUP(C167,'BD Total'!$A$1:$H$506,3,0),"")</f>
        <v/>
      </c>
      <c r="E167" s="13"/>
      <c r="F167" s="14" t="str">
        <f>IFERROR(VLOOKUP(C167,'BD Total'!$A$1:$H$506,4,0),"")</f>
        <v/>
      </c>
      <c r="G167" s="54" t="str">
        <f t="shared" si="2"/>
        <v/>
      </c>
      <c r="H167" t="str">
        <f>IFERROR(VLOOKUP(C167,'BD Total'!$A$1:$G$506,6,0),"")</f>
        <v/>
      </c>
      <c r="I167" t="str">
        <f>IFERROR(VLOOKUP(C167,'BD Total'!$A$1:$G$506,7,0),"")</f>
        <v/>
      </c>
    </row>
    <row r="168" spans="2:9" x14ac:dyDescent="0.3">
      <c r="B168" s="1"/>
      <c r="C168" s="1"/>
      <c r="D168" s="13" t="str">
        <f>IFERROR(VLOOKUP(C168,'BD Total'!$A$1:$H$506,3,0),"")</f>
        <v/>
      </c>
      <c r="E168" s="13"/>
      <c r="F168" s="14" t="str">
        <f>IFERROR(VLOOKUP(C168,'BD Total'!$A$1:$H$506,4,0),"")</f>
        <v/>
      </c>
      <c r="G168" s="54" t="str">
        <f t="shared" si="2"/>
        <v/>
      </c>
      <c r="H168" t="str">
        <f>IFERROR(VLOOKUP(C168,'BD Total'!$A$1:$G$506,6,0),"")</f>
        <v/>
      </c>
      <c r="I168" t="str">
        <f>IFERROR(VLOOKUP(C168,'BD Total'!$A$1:$G$506,7,0),"")</f>
        <v/>
      </c>
    </row>
    <row r="169" spans="2:9" x14ac:dyDescent="0.3">
      <c r="B169" s="1"/>
      <c r="C169" s="1"/>
      <c r="D169" s="13" t="str">
        <f>IFERROR(VLOOKUP(C169,'BD Total'!$A$1:$H$506,3,0),"")</f>
        <v/>
      </c>
      <c r="E169" s="13"/>
      <c r="F169" s="14" t="str">
        <f>IFERROR(VLOOKUP(C169,'BD Total'!$A$1:$H$506,4,0),"")</f>
        <v/>
      </c>
      <c r="G169" s="54" t="str">
        <f t="shared" si="2"/>
        <v/>
      </c>
      <c r="H169" t="str">
        <f>IFERROR(VLOOKUP(C169,'BD Total'!$A$1:$G$506,6,0),"")</f>
        <v/>
      </c>
      <c r="I169" t="str">
        <f>IFERROR(VLOOKUP(C169,'BD Total'!$A$1:$G$506,7,0),"")</f>
        <v/>
      </c>
    </row>
    <row r="170" spans="2:9" x14ac:dyDescent="0.3">
      <c r="B170" s="1"/>
      <c r="C170" s="1"/>
      <c r="D170" s="13" t="str">
        <f>IFERROR(VLOOKUP(C170,'BD Total'!$A$1:$H$506,3,0),"")</f>
        <v/>
      </c>
      <c r="E170" s="13"/>
      <c r="F170" s="14" t="str">
        <f>IFERROR(VLOOKUP(C170,'BD Total'!$A$1:$H$506,4,0),"")</f>
        <v/>
      </c>
      <c r="G170" s="54" t="str">
        <f t="shared" si="2"/>
        <v/>
      </c>
      <c r="H170" t="str">
        <f>IFERROR(VLOOKUP(C170,'BD Total'!$A$1:$G$506,6,0),"")</f>
        <v/>
      </c>
      <c r="I170" t="str">
        <f>IFERROR(VLOOKUP(C170,'BD Total'!$A$1:$G$506,7,0),"")</f>
        <v/>
      </c>
    </row>
    <row r="171" spans="2:9" x14ac:dyDescent="0.3">
      <c r="B171" s="1"/>
      <c r="C171" s="1"/>
      <c r="D171" s="13" t="str">
        <f>IFERROR(VLOOKUP(C171,'BD Total'!$A$1:$H$506,3,0),"")</f>
        <v/>
      </c>
      <c r="E171" s="13"/>
      <c r="F171" s="14" t="str">
        <f>IFERROR(VLOOKUP(C171,'BD Total'!$A$1:$H$506,4,0),"")</f>
        <v/>
      </c>
      <c r="G171" s="54" t="str">
        <f t="shared" si="2"/>
        <v/>
      </c>
      <c r="H171" t="str">
        <f>IFERROR(VLOOKUP(C171,'BD Total'!$A$1:$G$506,6,0),"")</f>
        <v/>
      </c>
      <c r="I171" t="str">
        <f>IFERROR(VLOOKUP(C171,'BD Total'!$A$1:$G$506,7,0),"")</f>
        <v/>
      </c>
    </row>
    <row r="172" spans="2:9" x14ac:dyDescent="0.3">
      <c r="B172" s="1"/>
      <c r="C172" s="1"/>
      <c r="D172" s="13" t="str">
        <f>IFERROR(VLOOKUP(C172,'BD Total'!$A$1:$H$506,3,0),"")</f>
        <v/>
      </c>
      <c r="E172" s="13"/>
      <c r="F172" s="14" t="str">
        <f>IFERROR(VLOOKUP(C172,'BD Total'!$A$1:$H$506,4,0),"")</f>
        <v/>
      </c>
      <c r="G172" s="54" t="str">
        <f t="shared" si="2"/>
        <v/>
      </c>
      <c r="H172" t="str">
        <f>IFERROR(VLOOKUP(C172,'BD Total'!$A$1:$G$506,6,0),"")</f>
        <v/>
      </c>
      <c r="I172" t="str">
        <f>IFERROR(VLOOKUP(C172,'BD Total'!$A$1:$G$506,7,0),"")</f>
        <v/>
      </c>
    </row>
    <row r="173" spans="2:9" x14ac:dyDescent="0.3">
      <c r="B173" s="1"/>
      <c r="C173" s="1"/>
      <c r="D173" s="13" t="str">
        <f>IFERROR(VLOOKUP(C173,'BD Total'!$A$1:$H$506,3,0),"")</f>
        <v/>
      </c>
      <c r="E173" s="13"/>
      <c r="F173" s="14" t="str">
        <f>IFERROR(VLOOKUP(C173,'BD Total'!$A$1:$H$506,4,0),"")</f>
        <v/>
      </c>
      <c r="G173" s="54" t="str">
        <f t="shared" si="2"/>
        <v/>
      </c>
      <c r="H173" t="str">
        <f>IFERROR(VLOOKUP(C173,'BD Total'!$A$1:$G$506,6,0),"")</f>
        <v/>
      </c>
      <c r="I173" t="str">
        <f>IFERROR(VLOOKUP(C173,'BD Total'!$A$1:$G$506,7,0),"")</f>
        <v/>
      </c>
    </row>
    <row r="174" spans="2:9" x14ac:dyDescent="0.3">
      <c r="B174" s="1"/>
      <c r="C174" s="1"/>
      <c r="D174" s="13" t="str">
        <f>IFERROR(VLOOKUP(C174,'BD Total'!$A$1:$H$506,3,0),"")</f>
        <v/>
      </c>
      <c r="E174" s="13"/>
      <c r="F174" s="14" t="str">
        <f>IFERROR(VLOOKUP(C174,'BD Total'!$A$1:$H$506,4,0),"")</f>
        <v/>
      </c>
      <c r="G174" s="54" t="str">
        <f t="shared" si="2"/>
        <v/>
      </c>
      <c r="H174" t="str">
        <f>IFERROR(VLOOKUP(C174,'BD Total'!$A$1:$G$506,6,0),"")</f>
        <v/>
      </c>
      <c r="I174" t="str">
        <f>IFERROR(VLOOKUP(C174,'BD Total'!$A$1:$G$506,7,0),"")</f>
        <v/>
      </c>
    </row>
    <row r="175" spans="2:9" x14ac:dyDescent="0.3">
      <c r="B175" s="1"/>
      <c r="C175" s="1"/>
      <c r="D175" s="13" t="str">
        <f>IFERROR(VLOOKUP(C175,'BD Total'!$A$1:$H$506,3,0),"")</f>
        <v/>
      </c>
      <c r="E175" s="13"/>
      <c r="F175" s="14" t="str">
        <f>IFERROR(VLOOKUP(C175,'BD Total'!$A$1:$H$506,4,0),"")</f>
        <v/>
      </c>
      <c r="G175" s="54" t="str">
        <f t="shared" si="2"/>
        <v/>
      </c>
      <c r="H175" t="str">
        <f>IFERROR(VLOOKUP(C175,'BD Total'!$A$1:$G$506,6,0),"")</f>
        <v/>
      </c>
      <c r="I175" t="str">
        <f>IFERROR(VLOOKUP(C175,'BD Total'!$A$1:$G$506,7,0),"")</f>
        <v/>
      </c>
    </row>
    <row r="176" spans="2:9" x14ac:dyDescent="0.3">
      <c r="B176" s="1"/>
      <c r="C176" s="1"/>
      <c r="D176" s="13" t="str">
        <f>IFERROR(VLOOKUP(C176,'BD Total'!$A$1:$H$506,3,0),"")</f>
        <v/>
      </c>
      <c r="E176" s="13"/>
      <c r="F176" s="14" t="str">
        <f>IFERROR(VLOOKUP(C176,'BD Total'!$A$1:$H$506,4,0),"")</f>
        <v/>
      </c>
      <c r="G176" s="54" t="str">
        <f t="shared" si="2"/>
        <v/>
      </c>
      <c r="H176" t="str">
        <f>IFERROR(VLOOKUP(C176,'BD Total'!$A$1:$G$506,6,0),"")</f>
        <v/>
      </c>
      <c r="I176" t="str">
        <f>IFERROR(VLOOKUP(C176,'BD Total'!$A$1:$G$506,7,0),"")</f>
        <v/>
      </c>
    </row>
    <row r="177" spans="2:9" x14ac:dyDescent="0.3">
      <c r="B177" s="1"/>
      <c r="C177" s="1"/>
      <c r="D177" s="13" t="str">
        <f>IFERROR(VLOOKUP(C177,'BD Total'!$A$1:$H$506,3,0),"")</f>
        <v/>
      </c>
      <c r="E177" s="13"/>
      <c r="F177" s="14" t="str">
        <f>IFERROR(VLOOKUP(C177,'BD Total'!$A$1:$H$506,4,0),"")</f>
        <v/>
      </c>
      <c r="G177" s="54" t="str">
        <f t="shared" si="2"/>
        <v/>
      </c>
      <c r="H177" t="str">
        <f>IFERROR(VLOOKUP(C177,'BD Total'!$A$1:$G$506,6,0),"")</f>
        <v/>
      </c>
      <c r="I177" t="str">
        <f>IFERROR(VLOOKUP(C177,'BD Total'!$A$1:$G$506,7,0),"")</f>
        <v/>
      </c>
    </row>
    <row r="178" spans="2:9" x14ac:dyDescent="0.3">
      <c r="B178" s="1"/>
      <c r="C178" s="1"/>
      <c r="D178" s="13" t="str">
        <f>IFERROR(VLOOKUP(C178,'BD Total'!$A$1:$H$506,3,0),"")</f>
        <v/>
      </c>
      <c r="E178" s="13"/>
      <c r="F178" s="14" t="str">
        <f>IFERROR(VLOOKUP(C178,'BD Total'!$A$1:$H$506,4,0),"")</f>
        <v/>
      </c>
      <c r="G178" s="54" t="str">
        <f t="shared" si="2"/>
        <v/>
      </c>
      <c r="H178" t="str">
        <f>IFERROR(VLOOKUP(C178,'BD Total'!$A$1:$G$506,6,0),"")</f>
        <v/>
      </c>
      <c r="I178" t="str">
        <f>IFERROR(VLOOKUP(C178,'BD Total'!$A$1:$G$506,7,0),"")</f>
        <v/>
      </c>
    </row>
    <row r="179" spans="2:9" x14ac:dyDescent="0.3">
      <c r="B179" s="1"/>
      <c r="C179" s="1"/>
      <c r="D179" s="13" t="str">
        <f>IFERROR(VLOOKUP(C179,'BD Total'!$A$1:$H$506,3,0),"")</f>
        <v/>
      </c>
      <c r="E179" s="13"/>
      <c r="F179" s="14" t="str">
        <f>IFERROR(VLOOKUP(C179,'BD Total'!$A$1:$H$506,4,0),"")</f>
        <v/>
      </c>
      <c r="G179" s="54" t="str">
        <f t="shared" si="2"/>
        <v/>
      </c>
      <c r="H179" t="str">
        <f>IFERROR(VLOOKUP(C179,'BD Total'!$A$1:$G$506,6,0),"")</f>
        <v/>
      </c>
      <c r="I179" t="str">
        <f>IFERROR(VLOOKUP(C179,'BD Total'!$A$1:$G$506,7,0),"")</f>
        <v/>
      </c>
    </row>
    <row r="180" spans="2:9" x14ac:dyDescent="0.3">
      <c r="B180" s="1"/>
      <c r="C180" s="1"/>
      <c r="D180" s="13" t="str">
        <f>IFERROR(VLOOKUP(C180,'BD Total'!$A$1:$H$506,3,0),"")</f>
        <v/>
      </c>
      <c r="E180" s="13"/>
      <c r="F180" s="14" t="str">
        <f>IFERROR(VLOOKUP(C180,'BD Total'!$A$1:$H$506,4,0),"")</f>
        <v/>
      </c>
      <c r="G180" s="54" t="str">
        <f t="shared" si="2"/>
        <v/>
      </c>
      <c r="H180" t="str">
        <f>IFERROR(VLOOKUP(C180,'BD Total'!$A$1:$G$506,6,0),"")</f>
        <v/>
      </c>
      <c r="I180" t="str">
        <f>IFERROR(VLOOKUP(C180,'BD Total'!$A$1:$G$506,7,0),"")</f>
        <v/>
      </c>
    </row>
    <row r="181" spans="2:9" x14ac:dyDescent="0.3">
      <c r="B181" s="1"/>
      <c r="C181" s="1"/>
      <c r="D181" s="13" t="str">
        <f>IFERROR(VLOOKUP(C181,'BD Total'!$A$1:$H$506,3,0),"")</f>
        <v/>
      </c>
      <c r="E181" s="13"/>
      <c r="F181" s="14" t="str">
        <f>IFERROR(VLOOKUP(C181,'BD Total'!$A$1:$H$506,4,0),"")</f>
        <v/>
      </c>
      <c r="G181" s="54" t="str">
        <f t="shared" si="2"/>
        <v/>
      </c>
      <c r="H181" t="str">
        <f>IFERROR(VLOOKUP(C181,'BD Total'!$A$1:$G$506,6,0),"")</f>
        <v/>
      </c>
      <c r="I181" t="str">
        <f>IFERROR(VLOOKUP(C181,'BD Total'!$A$1:$G$506,7,0),"")</f>
        <v/>
      </c>
    </row>
    <row r="182" spans="2:9" x14ac:dyDescent="0.3">
      <c r="B182" s="1"/>
      <c r="C182" s="1"/>
      <c r="D182" s="13" t="str">
        <f>IFERROR(VLOOKUP(C182,'BD Total'!$A$1:$H$506,3,0),"")</f>
        <v/>
      </c>
      <c r="E182" s="13"/>
      <c r="F182" s="14" t="str">
        <f>IFERROR(VLOOKUP(C182,'BD Total'!$A$1:$H$506,4,0),"")</f>
        <v/>
      </c>
      <c r="G182" s="54" t="str">
        <f t="shared" ref="G182" si="3">IFERROR(F182*E182,"")</f>
        <v/>
      </c>
      <c r="H182" t="str">
        <f>IFERROR(VLOOKUP(C182,'BD Total'!$A$1:$G$506,6,0),"")</f>
        <v/>
      </c>
      <c r="I182" t="str">
        <f>IFERROR(VLOOKUP(C182,'BD Total'!$A$1:$G$506,7,0),"")</f>
        <v/>
      </c>
    </row>
    <row r="183" spans="2:9" x14ac:dyDescent="0.3">
      <c r="B183" s="1"/>
      <c r="C183" s="1"/>
      <c r="D183" s="13" t="str">
        <f>IFERROR(VLOOKUP(C183,'BD Total'!$A$1:$H$506,3,0),"")</f>
        <v/>
      </c>
      <c r="E183" s="13"/>
      <c r="F183" s="14" t="str">
        <f>IFERROR(VLOOKUP(C183,'BD Total'!$A$1:$H$506,4,0),"")</f>
        <v/>
      </c>
      <c r="G183" s="54" t="str">
        <f t="shared" ref="G183:G246" si="4">IFERROR(F183*E183,"")</f>
        <v/>
      </c>
      <c r="H183" t="str">
        <f>IFERROR(VLOOKUP(C183,'BD Total'!$A$1:$G$506,6,0),"")</f>
        <v/>
      </c>
      <c r="I183" t="str">
        <f>IFERROR(VLOOKUP(C183,'BD Total'!$A$1:$G$506,7,0),"")</f>
        <v/>
      </c>
    </row>
    <row r="184" spans="2:9" x14ac:dyDescent="0.3">
      <c r="B184" s="1"/>
      <c r="C184" s="1"/>
      <c r="D184" s="13" t="str">
        <f>IFERROR(VLOOKUP(C184,'BD Total'!$A$1:$H$506,3,0),"")</f>
        <v/>
      </c>
      <c r="E184" s="13"/>
      <c r="F184" s="14" t="str">
        <f>IFERROR(VLOOKUP(C184,'BD Total'!$A$1:$H$506,4,0),"")</f>
        <v/>
      </c>
      <c r="G184" s="54" t="str">
        <f t="shared" si="4"/>
        <v/>
      </c>
      <c r="H184" t="str">
        <f>IFERROR(VLOOKUP(C184,'BD Total'!$A$1:$G$506,6,0),"")</f>
        <v/>
      </c>
      <c r="I184" t="str">
        <f>IFERROR(VLOOKUP(C184,'BD Total'!$A$1:$G$506,7,0),"")</f>
        <v/>
      </c>
    </row>
    <row r="185" spans="2:9" x14ac:dyDescent="0.3">
      <c r="B185" s="1"/>
      <c r="C185" s="1"/>
      <c r="D185" s="13" t="str">
        <f>IFERROR(VLOOKUP(C185,'BD Total'!$A$1:$H$506,3,0),"")</f>
        <v/>
      </c>
      <c r="E185" s="13"/>
      <c r="F185" s="14" t="str">
        <f>IFERROR(VLOOKUP(C185,'BD Total'!$A$1:$H$506,4,0),"")</f>
        <v/>
      </c>
      <c r="G185" s="54" t="str">
        <f t="shared" si="4"/>
        <v/>
      </c>
      <c r="H185" t="str">
        <f>IFERROR(VLOOKUP(C185,'BD Total'!$A$1:$G$506,6,0),"")</f>
        <v/>
      </c>
      <c r="I185" t="str">
        <f>IFERROR(VLOOKUP(C185,'BD Total'!$A$1:$G$506,7,0),"")</f>
        <v/>
      </c>
    </row>
    <row r="186" spans="2:9" x14ac:dyDescent="0.3">
      <c r="B186" s="1"/>
      <c r="C186" s="1"/>
      <c r="D186" s="13" t="str">
        <f>IFERROR(VLOOKUP(C186,'BD Total'!$A$1:$H$506,3,0),"")</f>
        <v/>
      </c>
      <c r="E186" s="13"/>
      <c r="F186" s="14" t="str">
        <f>IFERROR(VLOOKUP(C186,'BD Total'!$A$1:$H$506,4,0),"")</f>
        <v/>
      </c>
      <c r="G186" s="54" t="str">
        <f t="shared" si="4"/>
        <v/>
      </c>
      <c r="H186" t="str">
        <f>IFERROR(VLOOKUP(C186,'BD Total'!$A$1:$G$506,6,0),"")</f>
        <v/>
      </c>
      <c r="I186" t="str">
        <f>IFERROR(VLOOKUP(C186,'BD Total'!$A$1:$G$506,7,0),"")</f>
        <v/>
      </c>
    </row>
    <row r="187" spans="2:9" x14ac:dyDescent="0.3">
      <c r="B187" s="1"/>
      <c r="C187" s="1"/>
      <c r="D187" s="13" t="str">
        <f>IFERROR(VLOOKUP(C187,'BD Total'!$A$1:$H$506,3,0),"")</f>
        <v/>
      </c>
      <c r="E187" s="13"/>
      <c r="F187" s="14" t="str">
        <f>IFERROR(VLOOKUP(C187,'BD Total'!$A$1:$H$506,4,0),"")</f>
        <v/>
      </c>
      <c r="G187" s="54" t="str">
        <f t="shared" si="4"/>
        <v/>
      </c>
      <c r="H187" t="str">
        <f>IFERROR(VLOOKUP(C187,'BD Total'!$A$1:$G$506,6,0),"")</f>
        <v/>
      </c>
      <c r="I187" t="str">
        <f>IFERROR(VLOOKUP(C187,'BD Total'!$A$1:$G$506,7,0),"")</f>
        <v/>
      </c>
    </row>
    <row r="188" spans="2:9" x14ac:dyDescent="0.3">
      <c r="B188" s="1"/>
      <c r="C188" s="1"/>
      <c r="D188" s="13" t="str">
        <f>IFERROR(VLOOKUP(C188,'BD Total'!$A$1:$H$506,3,0),"")</f>
        <v/>
      </c>
      <c r="E188" s="13"/>
      <c r="F188" s="14" t="str">
        <f>IFERROR(VLOOKUP(C188,'BD Total'!$A$1:$H$506,4,0),"")</f>
        <v/>
      </c>
      <c r="G188" s="54" t="str">
        <f t="shared" si="4"/>
        <v/>
      </c>
      <c r="H188" t="str">
        <f>IFERROR(VLOOKUP(C188,'BD Total'!$A$1:$G$506,6,0),"")</f>
        <v/>
      </c>
      <c r="I188" t="str">
        <f>IFERROR(VLOOKUP(C188,'BD Total'!$A$1:$G$506,7,0),"")</f>
        <v/>
      </c>
    </row>
    <row r="189" spans="2:9" x14ac:dyDescent="0.3">
      <c r="B189" s="1"/>
      <c r="C189" s="1"/>
      <c r="D189" s="13" t="str">
        <f>IFERROR(VLOOKUP(C189,'BD Total'!$A$1:$H$506,3,0),"")</f>
        <v/>
      </c>
      <c r="E189" s="13"/>
      <c r="F189" s="14" t="str">
        <f>IFERROR(VLOOKUP(C189,'BD Total'!$A$1:$H$506,4,0),"")</f>
        <v/>
      </c>
      <c r="G189" s="54" t="str">
        <f t="shared" si="4"/>
        <v/>
      </c>
      <c r="H189" t="str">
        <f>IFERROR(VLOOKUP(C189,'BD Total'!$A$1:$G$506,6,0),"")</f>
        <v/>
      </c>
      <c r="I189" t="str">
        <f>IFERROR(VLOOKUP(C189,'BD Total'!$A$1:$G$506,7,0),"")</f>
        <v/>
      </c>
    </row>
    <row r="190" spans="2:9" x14ac:dyDescent="0.3">
      <c r="B190" s="1"/>
      <c r="C190" s="1"/>
      <c r="D190" s="13" t="str">
        <f>IFERROR(VLOOKUP(C190,'BD Total'!$A$1:$H$506,3,0),"")</f>
        <v/>
      </c>
      <c r="E190" s="13"/>
      <c r="F190" s="14" t="str">
        <f>IFERROR(VLOOKUP(C190,'BD Total'!$A$1:$H$506,4,0),"")</f>
        <v/>
      </c>
      <c r="G190" s="54" t="str">
        <f t="shared" si="4"/>
        <v/>
      </c>
      <c r="H190" t="str">
        <f>IFERROR(VLOOKUP(C190,'BD Total'!$A$1:$G$506,6,0),"")</f>
        <v/>
      </c>
      <c r="I190" t="str">
        <f>IFERROR(VLOOKUP(C190,'BD Total'!$A$1:$G$506,7,0),"")</f>
        <v/>
      </c>
    </row>
    <row r="191" spans="2:9" x14ac:dyDescent="0.3">
      <c r="B191" s="1"/>
      <c r="C191" s="1"/>
      <c r="D191" s="13" t="str">
        <f>IFERROR(VLOOKUP(C191,'BD Total'!$A$1:$H$506,3,0),"")</f>
        <v/>
      </c>
      <c r="E191" s="13"/>
      <c r="F191" s="14" t="str">
        <f>IFERROR(VLOOKUP(C191,'BD Total'!$A$1:$H$506,4,0),"")</f>
        <v/>
      </c>
      <c r="G191" s="54" t="str">
        <f t="shared" si="4"/>
        <v/>
      </c>
      <c r="H191" t="str">
        <f>IFERROR(VLOOKUP(C191,'BD Total'!$A$1:$G$506,6,0),"")</f>
        <v/>
      </c>
      <c r="I191" t="str">
        <f>IFERROR(VLOOKUP(C191,'BD Total'!$A$1:$G$506,7,0),"")</f>
        <v/>
      </c>
    </row>
    <row r="192" spans="2:9" x14ac:dyDescent="0.3">
      <c r="B192" s="1"/>
      <c r="C192" s="1"/>
      <c r="D192" s="13" t="str">
        <f>IFERROR(VLOOKUP(C192,'BD Total'!$A$1:$H$506,3,0),"")</f>
        <v/>
      </c>
      <c r="E192" s="13"/>
      <c r="F192" s="14" t="str">
        <f>IFERROR(VLOOKUP(C192,'BD Total'!$A$1:$H$506,4,0),"")</f>
        <v/>
      </c>
      <c r="G192" s="54" t="str">
        <f t="shared" si="4"/>
        <v/>
      </c>
      <c r="H192" t="str">
        <f>IFERROR(VLOOKUP(C192,'BD Total'!$A$1:$G$506,6,0),"")</f>
        <v/>
      </c>
      <c r="I192" t="str">
        <f>IFERROR(VLOOKUP(C192,'BD Total'!$A$1:$G$506,7,0),"")</f>
        <v/>
      </c>
    </row>
    <row r="193" spans="2:9" x14ac:dyDescent="0.3">
      <c r="B193" s="1"/>
      <c r="C193" s="1"/>
      <c r="D193" s="13" t="str">
        <f>IFERROR(VLOOKUP(C193,'BD Total'!$A$1:$H$506,3,0),"")</f>
        <v/>
      </c>
      <c r="E193" s="13"/>
      <c r="F193" s="14" t="str">
        <f>IFERROR(VLOOKUP(C193,'BD Total'!$A$1:$H$506,4,0),"")</f>
        <v/>
      </c>
      <c r="G193" s="54" t="str">
        <f t="shared" si="4"/>
        <v/>
      </c>
      <c r="H193" t="str">
        <f>IFERROR(VLOOKUP(C193,'BD Total'!$A$1:$G$506,6,0),"")</f>
        <v/>
      </c>
      <c r="I193" t="str">
        <f>IFERROR(VLOOKUP(C193,'BD Total'!$A$1:$G$506,7,0),"")</f>
        <v/>
      </c>
    </row>
    <row r="194" spans="2:9" x14ac:dyDescent="0.3">
      <c r="B194" s="1"/>
      <c r="C194" s="1"/>
      <c r="D194" s="13" t="str">
        <f>IFERROR(VLOOKUP(C194,'BD Total'!$A$1:$H$506,3,0),"")</f>
        <v/>
      </c>
      <c r="E194" s="13"/>
      <c r="F194" s="14" t="str">
        <f>IFERROR(VLOOKUP(C194,'BD Total'!$A$1:$H$506,4,0),"")</f>
        <v/>
      </c>
      <c r="G194" s="54" t="str">
        <f t="shared" si="4"/>
        <v/>
      </c>
      <c r="H194" t="str">
        <f>IFERROR(VLOOKUP(C194,'BD Total'!$A$1:$G$506,6,0),"")</f>
        <v/>
      </c>
      <c r="I194" t="str">
        <f>IFERROR(VLOOKUP(C194,'BD Total'!$A$1:$G$506,7,0),"")</f>
        <v/>
      </c>
    </row>
    <row r="195" spans="2:9" x14ac:dyDescent="0.3">
      <c r="B195" s="1"/>
      <c r="C195" s="1"/>
      <c r="D195" s="13" t="str">
        <f>IFERROR(VLOOKUP(C195,'BD Total'!$A$1:$H$506,3,0),"")</f>
        <v/>
      </c>
      <c r="E195" s="13"/>
      <c r="F195" s="14" t="str">
        <f>IFERROR(VLOOKUP(C195,'BD Total'!$A$1:$H$506,4,0),"")</f>
        <v/>
      </c>
      <c r="G195" s="54" t="str">
        <f t="shared" si="4"/>
        <v/>
      </c>
      <c r="H195" t="str">
        <f>IFERROR(VLOOKUP(C195,'BD Total'!$A$1:$G$506,6,0),"")</f>
        <v/>
      </c>
      <c r="I195" t="str">
        <f>IFERROR(VLOOKUP(C195,'BD Total'!$A$1:$G$506,7,0),"")</f>
        <v/>
      </c>
    </row>
    <row r="196" spans="2:9" x14ac:dyDescent="0.3">
      <c r="B196" s="1"/>
      <c r="C196" s="1"/>
      <c r="D196" s="13" t="str">
        <f>IFERROR(VLOOKUP(C196,'BD Total'!$A$1:$H$506,3,0),"")</f>
        <v/>
      </c>
      <c r="E196" s="13"/>
      <c r="F196" s="14" t="str">
        <f>IFERROR(VLOOKUP(C196,'BD Total'!$A$1:$H$506,4,0),"")</f>
        <v/>
      </c>
      <c r="G196" s="54" t="str">
        <f t="shared" si="4"/>
        <v/>
      </c>
      <c r="H196" t="str">
        <f>IFERROR(VLOOKUP(C196,'BD Total'!$A$1:$G$506,6,0),"")</f>
        <v/>
      </c>
      <c r="I196" t="str">
        <f>IFERROR(VLOOKUP(C196,'BD Total'!$A$1:$G$506,7,0),"")</f>
        <v/>
      </c>
    </row>
    <row r="197" spans="2:9" x14ac:dyDescent="0.3">
      <c r="B197" s="1"/>
      <c r="C197" s="1"/>
      <c r="D197" s="13" t="str">
        <f>IFERROR(VLOOKUP(C197,'BD Total'!$A$1:$H$506,3,0),"")</f>
        <v/>
      </c>
      <c r="E197" s="13"/>
      <c r="F197" s="14" t="str">
        <f>IFERROR(VLOOKUP(C197,'BD Total'!$A$1:$H$506,4,0),"")</f>
        <v/>
      </c>
      <c r="G197" s="54" t="str">
        <f t="shared" si="4"/>
        <v/>
      </c>
      <c r="H197" t="str">
        <f>IFERROR(VLOOKUP(C197,'BD Total'!$A$1:$G$506,6,0),"")</f>
        <v/>
      </c>
      <c r="I197" t="str">
        <f>IFERROR(VLOOKUP(C197,'BD Total'!$A$1:$G$506,7,0),"")</f>
        <v/>
      </c>
    </row>
    <row r="198" spans="2:9" x14ac:dyDescent="0.3">
      <c r="B198" s="1"/>
      <c r="C198" s="1"/>
      <c r="D198" s="13" t="str">
        <f>IFERROR(VLOOKUP(C198,'BD Total'!$A$1:$H$506,3,0),"")</f>
        <v/>
      </c>
      <c r="E198" s="13"/>
      <c r="F198" s="14" t="str">
        <f>IFERROR(VLOOKUP(C198,'BD Total'!$A$1:$H$506,4,0),"")</f>
        <v/>
      </c>
      <c r="G198" s="54" t="str">
        <f t="shared" si="4"/>
        <v/>
      </c>
      <c r="H198" t="str">
        <f>IFERROR(VLOOKUP(C198,'BD Total'!$A$1:$G$506,6,0),"")</f>
        <v/>
      </c>
      <c r="I198" t="str">
        <f>IFERROR(VLOOKUP(C198,'BD Total'!$A$1:$G$506,7,0),"")</f>
        <v/>
      </c>
    </row>
    <row r="199" spans="2:9" x14ac:dyDescent="0.3">
      <c r="B199" s="1"/>
      <c r="C199" s="1"/>
      <c r="D199" s="13" t="str">
        <f>IFERROR(VLOOKUP(C199,'BD Total'!$A$1:$H$506,3,0),"")</f>
        <v/>
      </c>
      <c r="E199" s="13"/>
      <c r="F199" s="14" t="str">
        <f>IFERROR(VLOOKUP(C199,'BD Total'!$A$1:$H$506,4,0),"")</f>
        <v/>
      </c>
      <c r="G199" s="54" t="str">
        <f t="shared" si="4"/>
        <v/>
      </c>
      <c r="H199" t="str">
        <f>IFERROR(VLOOKUP(C199,'BD Total'!$A$1:$G$506,6,0),"")</f>
        <v/>
      </c>
      <c r="I199" t="str">
        <f>IFERROR(VLOOKUP(C199,'BD Total'!$A$1:$G$506,7,0),"")</f>
        <v/>
      </c>
    </row>
    <row r="200" spans="2:9" x14ac:dyDescent="0.3">
      <c r="B200" s="1"/>
      <c r="C200" s="1"/>
      <c r="D200" s="13" t="str">
        <f>IFERROR(VLOOKUP(C200,'BD Total'!$A$1:$H$506,3,0),"")</f>
        <v/>
      </c>
      <c r="E200" s="13"/>
      <c r="F200" s="14" t="str">
        <f>IFERROR(VLOOKUP(C200,'BD Total'!$A$1:$H$506,4,0),"")</f>
        <v/>
      </c>
      <c r="G200" s="54" t="str">
        <f t="shared" si="4"/>
        <v/>
      </c>
      <c r="H200" t="str">
        <f>IFERROR(VLOOKUP(C200,'BD Total'!$A$1:$G$506,6,0),"")</f>
        <v/>
      </c>
      <c r="I200" t="str">
        <f>IFERROR(VLOOKUP(C200,'BD Total'!$A$1:$G$506,7,0),"")</f>
        <v/>
      </c>
    </row>
    <row r="201" spans="2:9" x14ac:dyDescent="0.3">
      <c r="B201" s="1"/>
      <c r="C201" s="1"/>
      <c r="D201" s="13" t="str">
        <f>IFERROR(VLOOKUP(C201,'BD Total'!$A$1:$H$506,3,0),"")</f>
        <v/>
      </c>
      <c r="E201" s="13"/>
      <c r="F201" s="14" t="str">
        <f>IFERROR(VLOOKUP(C201,'BD Total'!$A$1:$H$506,4,0),"")</f>
        <v/>
      </c>
      <c r="G201" s="54" t="str">
        <f t="shared" si="4"/>
        <v/>
      </c>
      <c r="H201" t="str">
        <f>IFERROR(VLOOKUP(C201,'BD Total'!$A$1:$G$506,6,0),"")</f>
        <v/>
      </c>
      <c r="I201" t="str">
        <f>IFERROR(VLOOKUP(C201,'BD Total'!$A$1:$G$506,7,0),"")</f>
        <v/>
      </c>
    </row>
    <row r="202" spans="2:9" x14ac:dyDescent="0.3">
      <c r="B202" s="1"/>
      <c r="C202" s="1"/>
      <c r="D202" s="13" t="str">
        <f>IFERROR(VLOOKUP(C202,'BD Total'!$A$1:$H$506,3,0),"")</f>
        <v/>
      </c>
      <c r="E202" s="13"/>
      <c r="F202" s="14" t="str">
        <f>IFERROR(VLOOKUP(C202,'BD Total'!$A$1:$H$506,4,0),"")</f>
        <v/>
      </c>
      <c r="G202" s="54" t="str">
        <f t="shared" si="4"/>
        <v/>
      </c>
      <c r="H202" t="str">
        <f>IFERROR(VLOOKUP(C202,'BD Total'!$A$1:$G$506,6,0),"")</f>
        <v/>
      </c>
      <c r="I202" t="str">
        <f>IFERROR(VLOOKUP(C202,'BD Total'!$A$1:$G$506,7,0),"")</f>
        <v/>
      </c>
    </row>
    <row r="203" spans="2:9" x14ac:dyDescent="0.3">
      <c r="B203" s="1"/>
      <c r="C203" s="1"/>
      <c r="D203" s="13" t="str">
        <f>IFERROR(VLOOKUP(C203,'BD Total'!$A$1:$H$506,3,0),"")</f>
        <v/>
      </c>
      <c r="E203" s="13"/>
      <c r="F203" s="14" t="str">
        <f>IFERROR(VLOOKUP(C203,'BD Total'!$A$1:$H$506,4,0),"")</f>
        <v/>
      </c>
      <c r="G203" s="54" t="str">
        <f t="shared" si="4"/>
        <v/>
      </c>
      <c r="H203" t="str">
        <f>IFERROR(VLOOKUP(C203,'BD Total'!$A$1:$G$506,6,0),"")</f>
        <v/>
      </c>
      <c r="I203" t="str">
        <f>IFERROR(VLOOKUP(C203,'BD Total'!$A$1:$G$506,7,0),"")</f>
        <v/>
      </c>
    </row>
    <row r="204" spans="2:9" x14ac:dyDescent="0.3">
      <c r="B204" s="1"/>
      <c r="C204" s="1"/>
      <c r="D204" s="13" t="str">
        <f>IFERROR(VLOOKUP(C204,'BD Total'!$A$1:$H$506,3,0),"")</f>
        <v/>
      </c>
      <c r="E204" s="13"/>
      <c r="F204" s="14" t="str">
        <f>IFERROR(VLOOKUP(C204,'BD Total'!$A$1:$H$506,4,0),"")</f>
        <v/>
      </c>
      <c r="G204" s="54" t="str">
        <f t="shared" si="4"/>
        <v/>
      </c>
      <c r="H204" t="str">
        <f>IFERROR(VLOOKUP(C204,'BD Total'!$A$1:$G$506,6,0),"")</f>
        <v/>
      </c>
      <c r="I204" t="str">
        <f>IFERROR(VLOOKUP(C204,'BD Total'!$A$1:$G$506,7,0),"")</f>
        <v/>
      </c>
    </row>
    <row r="205" spans="2:9" x14ac:dyDescent="0.3">
      <c r="B205" s="1"/>
      <c r="C205" s="1"/>
      <c r="D205" s="13" t="str">
        <f>IFERROR(VLOOKUP(C205,'BD Total'!$A$1:$H$506,3,0),"")</f>
        <v/>
      </c>
      <c r="E205" s="13"/>
      <c r="F205" s="14" t="str">
        <f>IFERROR(VLOOKUP(C205,'BD Total'!$A$1:$H$506,4,0),"")</f>
        <v/>
      </c>
      <c r="G205" s="54" t="str">
        <f t="shared" si="4"/>
        <v/>
      </c>
      <c r="H205" t="str">
        <f>IFERROR(VLOOKUP(C205,'BD Total'!$A$1:$G$506,6,0),"")</f>
        <v/>
      </c>
      <c r="I205" t="str">
        <f>IFERROR(VLOOKUP(C205,'BD Total'!$A$1:$G$506,7,0),"")</f>
        <v/>
      </c>
    </row>
    <row r="206" spans="2:9" x14ac:dyDescent="0.3">
      <c r="B206" s="1"/>
      <c r="C206" s="1"/>
      <c r="D206" s="13" t="str">
        <f>IFERROR(VLOOKUP(C206,'BD Total'!$A$1:$H$506,3,0),"")</f>
        <v/>
      </c>
      <c r="E206" s="13"/>
      <c r="F206" s="14" t="str">
        <f>IFERROR(VLOOKUP(C206,'BD Total'!$A$1:$H$506,4,0),"")</f>
        <v/>
      </c>
      <c r="G206" s="54" t="str">
        <f t="shared" si="4"/>
        <v/>
      </c>
      <c r="H206" t="str">
        <f>IFERROR(VLOOKUP(C206,'BD Total'!$A$1:$G$506,6,0),"")</f>
        <v/>
      </c>
      <c r="I206" t="str">
        <f>IFERROR(VLOOKUP(C206,'BD Total'!$A$1:$G$506,7,0),"")</f>
        <v/>
      </c>
    </row>
    <row r="207" spans="2:9" x14ac:dyDescent="0.3">
      <c r="B207" s="1"/>
      <c r="C207" s="1"/>
      <c r="D207" s="13" t="str">
        <f>IFERROR(VLOOKUP(C207,'BD Total'!$A$1:$H$506,3,0),"")</f>
        <v/>
      </c>
      <c r="E207" s="13"/>
      <c r="F207" s="14" t="str">
        <f>IFERROR(VLOOKUP(C207,'BD Total'!$A$1:$H$506,4,0),"")</f>
        <v/>
      </c>
      <c r="G207" s="54" t="str">
        <f t="shared" si="4"/>
        <v/>
      </c>
      <c r="H207" t="str">
        <f>IFERROR(VLOOKUP(C207,'BD Total'!$A$1:$G$506,6,0),"")</f>
        <v/>
      </c>
      <c r="I207" t="str">
        <f>IFERROR(VLOOKUP(C207,'BD Total'!$A$1:$G$506,7,0),"")</f>
        <v/>
      </c>
    </row>
    <row r="208" spans="2:9" x14ac:dyDescent="0.3">
      <c r="B208" s="1"/>
      <c r="C208" s="1"/>
      <c r="D208" s="13" t="str">
        <f>IFERROR(VLOOKUP(C208,'BD Total'!$A$1:$H$506,3,0),"")</f>
        <v/>
      </c>
      <c r="E208" s="13"/>
      <c r="F208" s="14" t="str">
        <f>IFERROR(VLOOKUP(C208,'BD Total'!$A$1:$H$506,4,0),"")</f>
        <v/>
      </c>
      <c r="G208" s="54" t="str">
        <f t="shared" si="4"/>
        <v/>
      </c>
      <c r="H208" t="str">
        <f>IFERROR(VLOOKUP(C208,'BD Total'!$A$1:$G$506,6,0),"")</f>
        <v/>
      </c>
      <c r="I208" t="str">
        <f>IFERROR(VLOOKUP(C208,'BD Total'!$A$1:$G$506,7,0),"")</f>
        <v/>
      </c>
    </row>
    <row r="209" spans="2:9" x14ac:dyDescent="0.3">
      <c r="B209" s="1"/>
      <c r="C209" s="1"/>
      <c r="D209" s="13" t="str">
        <f>IFERROR(VLOOKUP(C209,'BD Total'!$A$1:$H$506,3,0),"")</f>
        <v/>
      </c>
      <c r="E209" s="13"/>
      <c r="F209" s="14" t="str">
        <f>IFERROR(VLOOKUP(C209,'BD Total'!$A$1:$H$506,4,0),"")</f>
        <v/>
      </c>
      <c r="G209" s="54" t="str">
        <f t="shared" si="4"/>
        <v/>
      </c>
      <c r="H209" t="str">
        <f>IFERROR(VLOOKUP(C209,'BD Total'!$A$1:$G$506,6,0),"")</f>
        <v/>
      </c>
      <c r="I209" t="str">
        <f>IFERROR(VLOOKUP(C209,'BD Total'!$A$1:$G$506,7,0),"")</f>
        <v/>
      </c>
    </row>
    <row r="210" spans="2:9" x14ac:dyDescent="0.3">
      <c r="B210" s="1"/>
      <c r="C210" s="1"/>
      <c r="D210" s="13" t="str">
        <f>IFERROR(VLOOKUP(C210,'BD Total'!$A$1:$H$506,3,0),"")</f>
        <v/>
      </c>
      <c r="E210" s="13"/>
      <c r="F210" s="14" t="str">
        <f>IFERROR(VLOOKUP(C210,'BD Total'!$A$1:$H$506,4,0),"")</f>
        <v/>
      </c>
      <c r="G210" s="54" t="str">
        <f t="shared" si="4"/>
        <v/>
      </c>
      <c r="H210" t="str">
        <f>IFERROR(VLOOKUP(C210,'BD Total'!$A$1:$G$506,6,0),"")</f>
        <v/>
      </c>
      <c r="I210" t="str">
        <f>IFERROR(VLOOKUP(C210,'BD Total'!$A$1:$G$506,7,0),"")</f>
        <v/>
      </c>
    </row>
    <row r="211" spans="2:9" x14ac:dyDescent="0.3">
      <c r="B211" s="1"/>
      <c r="C211" s="1"/>
      <c r="D211" s="13" t="str">
        <f>IFERROR(VLOOKUP(C211,'BD Total'!$A$1:$H$506,3,0),"")</f>
        <v/>
      </c>
      <c r="E211" s="13"/>
      <c r="F211" s="14" t="str">
        <f>IFERROR(VLOOKUP(C211,'BD Total'!$A$1:$H$506,4,0),"")</f>
        <v/>
      </c>
      <c r="G211" s="54" t="str">
        <f t="shared" si="4"/>
        <v/>
      </c>
      <c r="H211" t="str">
        <f>IFERROR(VLOOKUP(C211,'BD Total'!$A$1:$G$506,6,0),"")</f>
        <v/>
      </c>
      <c r="I211" t="str">
        <f>IFERROR(VLOOKUP(C211,'BD Total'!$A$1:$G$506,7,0),"")</f>
        <v/>
      </c>
    </row>
    <row r="212" spans="2:9" x14ac:dyDescent="0.3">
      <c r="B212" s="1"/>
      <c r="C212" s="1"/>
      <c r="D212" s="13" t="str">
        <f>IFERROR(VLOOKUP(C212,'BD Total'!$A$1:$H$506,3,0),"")</f>
        <v/>
      </c>
      <c r="E212" s="13"/>
      <c r="F212" s="14" t="str">
        <f>IFERROR(VLOOKUP(C212,'BD Total'!$A$1:$H$506,4,0),"")</f>
        <v/>
      </c>
      <c r="G212" s="54" t="str">
        <f t="shared" si="4"/>
        <v/>
      </c>
      <c r="H212" t="str">
        <f>IFERROR(VLOOKUP(C212,'BD Total'!$A$1:$G$506,6,0),"")</f>
        <v/>
      </c>
      <c r="I212" t="str">
        <f>IFERROR(VLOOKUP(C212,'BD Total'!$A$1:$G$506,7,0),"")</f>
        <v/>
      </c>
    </row>
    <row r="213" spans="2:9" x14ac:dyDescent="0.3">
      <c r="B213" s="1"/>
      <c r="C213" s="1"/>
      <c r="D213" s="13" t="str">
        <f>IFERROR(VLOOKUP(C213,'BD Total'!$A$1:$H$506,3,0),"")</f>
        <v/>
      </c>
      <c r="E213" s="13"/>
      <c r="F213" s="14" t="str">
        <f>IFERROR(VLOOKUP(C213,'BD Total'!$A$1:$H$506,4,0),"")</f>
        <v/>
      </c>
      <c r="G213" s="54" t="str">
        <f t="shared" si="4"/>
        <v/>
      </c>
      <c r="H213" t="str">
        <f>IFERROR(VLOOKUP(C213,'BD Total'!$A$1:$G$506,6,0),"")</f>
        <v/>
      </c>
      <c r="I213" t="str">
        <f>IFERROR(VLOOKUP(C213,'BD Total'!$A$1:$G$506,7,0),"")</f>
        <v/>
      </c>
    </row>
    <row r="214" spans="2:9" x14ac:dyDescent="0.3">
      <c r="B214" s="1"/>
      <c r="C214" s="1"/>
      <c r="D214" s="13" t="str">
        <f>IFERROR(VLOOKUP(C214,'BD Total'!$A$1:$H$506,3,0),"")</f>
        <v/>
      </c>
      <c r="E214" s="13"/>
      <c r="F214" s="14" t="str">
        <f>IFERROR(VLOOKUP(C214,'BD Total'!$A$1:$H$506,4,0),"")</f>
        <v/>
      </c>
      <c r="G214" s="54" t="str">
        <f t="shared" si="4"/>
        <v/>
      </c>
      <c r="H214" t="str">
        <f>IFERROR(VLOOKUP(C214,'BD Total'!$A$1:$G$506,6,0),"")</f>
        <v/>
      </c>
      <c r="I214" t="str">
        <f>IFERROR(VLOOKUP(C214,'BD Total'!$A$1:$G$506,7,0),"")</f>
        <v/>
      </c>
    </row>
    <row r="215" spans="2:9" x14ac:dyDescent="0.3">
      <c r="B215" s="1"/>
      <c r="C215" s="1"/>
      <c r="D215" s="13" t="str">
        <f>IFERROR(VLOOKUP(C215,'BD Total'!$A$1:$H$506,3,0),"")</f>
        <v/>
      </c>
      <c r="E215" s="13"/>
      <c r="F215" s="14" t="str">
        <f>IFERROR(VLOOKUP(C215,'BD Total'!$A$1:$H$506,4,0),"")</f>
        <v/>
      </c>
      <c r="G215" s="54" t="str">
        <f t="shared" si="4"/>
        <v/>
      </c>
      <c r="H215" t="str">
        <f>IFERROR(VLOOKUP(C215,'BD Total'!$A$1:$G$506,6,0),"")</f>
        <v/>
      </c>
      <c r="I215" t="str">
        <f>IFERROR(VLOOKUP(C215,'BD Total'!$A$1:$G$506,7,0),"")</f>
        <v/>
      </c>
    </row>
    <row r="216" spans="2:9" x14ac:dyDescent="0.3">
      <c r="B216" s="1"/>
      <c r="C216" s="1"/>
      <c r="D216" s="13" t="str">
        <f>IFERROR(VLOOKUP(C216,'BD Total'!$A$1:$H$506,3,0),"")</f>
        <v/>
      </c>
      <c r="E216" s="13"/>
      <c r="F216" s="14" t="str">
        <f>IFERROR(VLOOKUP(C216,'BD Total'!$A$1:$H$506,4,0),"")</f>
        <v/>
      </c>
      <c r="G216" s="54" t="str">
        <f t="shared" si="4"/>
        <v/>
      </c>
      <c r="H216" t="str">
        <f>IFERROR(VLOOKUP(C216,'BD Total'!$A$1:$G$506,6,0),"")</f>
        <v/>
      </c>
      <c r="I216" t="str">
        <f>IFERROR(VLOOKUP(C216,'BD Total'!$A$1:$G$506,7,0),"")</f>
        <v/>
      </c>
    </row>
    <row r="217" spans="2:9" x14ac:dyDescent="0.3">
      <c r="B217" s="1"/>
      <c r="C217" s="1"/>
      <c r="D217" s="13" t="str">
        <f>IFERROR(VLOOKUP(C217,'BD Total'!$A$1:$H$506,3,0),"")</f>
        <v/>
      </c>
      <c r="E217" s="13"/>
      <c r="F217" s="14" t="str">
        <f>IFERROR(VLOOKUP(C217,'BD Total'!$A$1:$H$506,4,0),"")</f>
        <v/>
      </c>
      <c r="G217" s="54" t="str">
        <f t="shared" si="4"/>
        <v/>
      </c>
      <c r="H217" t="str">
        <f>IFERROR(VLOOKUP(C217,'BD Total'!$A$1:$G$506,6,0),"")</f>
        <v/>
      </c>
      <c r="I217" t="str">
        <f>IFERROR(VLOOKUP(C217,'BD Total'!$A$1:$G$506,7,0),"")</f>
        <v/>
      </c>
    </row>
    <row r="218" spans="2:9" x14ac:dyDescent="0.3">
      <c r="B218" s="1"/>
      <c r="C218" s="1"/>
      <c r="D218" s="13" t="str">
        <f>IFERROR(VLOOKUP(C218,'BD Total'!$A$1:$H$506,3,0),"")</f>
        <v/>
      </c>
      <c r="E218" s="13"/>
      <c r="F218" s="14" t="str">
        <f>IFERROR(VLOOKUP(C218,'BD Total'!$A$1:$H$506,4,0),"")</f>
        <v/>
      </c>
      <c r="G218" s="54" t="str">
        <f t="shared" si="4"/>
        <v/>
      </c>
      <c r="H218" t="str">
        <f>IFERROR(VLOOKUP(C218,'BD Total'!$A$1:$G$506,6,0),"")</f>
        <v/>
      </c>
      <c r="I218" t="str">
        <f>IFERROR(VLOOKUP(C218,'BD Total'!$A$1:$G$506,7,0),"")</f>
        <v/>
      </c>
    </row>
    <row r="219" spans="2:9" x14ac:dyDescent="0.3">
      <c r="B219" s="1"/>
      <c r="C219" s="1"/>
      <c r="D219" s="13" t="str">
        <f>IFERROR(VLOOKUP(C219,'BD Total'!$A$1:$H$506,3,0),"")</f>
        <v/>
      </c>
      <c r="E219" s="13"/>
      <c r="F219" s="14" t="str">
        <f>IFERROR(VLOOKUP(C219,'BD Total'!$A$1:$H$506,4,0),"")</f>
        <v/>
      </c>
      <c r="G219" s="54" t="str">
        <f t="shared" si="4"/>
        <v/>
      </c>
      <c r="H219" t="str">
        <f>IFERROR(VLOOKUP(C219,'BD Total'!$A$1:$G$506,6,0),"")</f>
        <v/>
      </c>
      <c r="I219" t="str">
        <f>IFERROR(VLOOKUP(C219,'BD Total'!$A$1:$G$506,7,0),"")</f>
        <v/>
      </c>
    </row>
    <row r="220" spans="2:9" x14ac:dyDescent="0.3">
      <c r="B220" s="1"/>
      <c r="C220" s="1"/>
      <c r="D220" s="13" t="str">
        <f>IFERROR(VLOOKUP(C220,'BD Total'!$A$1:$H$506,3,0),"")</f>
        <v/>
      </c>
      <c r="E220" s="13"/>
      <c r="F220" s="14" t="str">
        <f>IFERROR(VLOOKUP(C220,'BD Total'!$A$1:$H$506,4,0),"")</f>
        <v/>
      </c>
      <c r="G220" s="54" t="str">
        <f t="shared" si="4"/>
        <v/>
      </c>
      <c r="H220" t="str">
        <f>IFERROR(VLOOKUP(C220,'BD Total'!$A$1:$G$506,6,0),"")</f>
        <v/>
      </c>
      <c r="I220" t="str">
        <f>IFERROR(VLOOKUP(C220,'BD Total'!$A$1:$G$506,7,0),"")</f>
        <v/>
      </c>
    </row>
    <row r="221" spans="2:9" x14ac:dyDescent="0.3">
      <c r="B221" s="1"/>
      <c r="C221" s="1"/>
      <c r="D221" s="13" t="str">
        <f>IFERROR(VLOOKUP(C221,'BD Total'!$A$1:$H$506,3,0),"")</f>
        <v/>
      </c>
      <c r="E221" s="13"/>
      <c r="F221" s="14" t="str">
        <f>IFERROR(VLOOKUP(C221,'BD Total'!$A$1:$H$506,4,0),"")</f>
        <v/>
      </c>
      <c r="G221" s="54" t="str">
        <f t="shared" si="4"/>
        <v/>
      </c>
      <c r="H221" t="str">
        <f>IFERROR(VLOOKUP(C221,'BD Total'!$A$1:$G$506,6,0),"")</f>
        <v/>
      </c>
      <c r="I221" t="str">
        <f>IFERROR(VLOOKUP(C221,'BD Total'!$A$1:$G$506,7,0),"")</f>
        <v/>
      </c>
    </row>
    <row r="222" spans="2:9" x14ac:dyDescent="0.3">
      <c r="B222" s="1"/>
      <c r="C222" s="1"/>
      <c r="D222" s="13" t="str">
        <f>IFERROR(VLOOKUP(C222,'BD Total'!$A$1:$H$506,3,0),"")</f>
        <v/>
      </c>
      <c r="E222" s="13"/>
      <c r="F222" s="14" t="str">
        <f>IFERROR(VLOOKUP(C222,'BD Total'!$A$1:$H$506,4,0),"")</f>
        <v/>
      </c>
      <c r="G222" s="54" t="str">
        <f t="shared" si="4"/>
        <v/>
      </c>
      <c r="H222" t="str">
        <f>IFERROR(VLOOKUP(C222,'BD Total'!$A$1:$G$506,6,0),"")</f>
        <v/>
      </c>
      <c r="I222" t="str">
        <f>IFERROR(VLOOKUP(C222,'BD Total'!$A$1:$G$506,7,0),"")</f>
        <v/>
      </c>
    </row>
    <row r="223" spans="2:9" x14ac:dyDescent="0.3">
      <c r="B223" s="1"/>
      <c r="C223" s="1"/>
      <c r="D223" s="13" t="str">
        <f>IFERROR(VLOOKUP(C223,'BD Total'!$A$1:$H$506,3,0),"")</f>
        <v/>
      </c>
      <c r="E223" s="13"/>
      <c r="F223" s="14" t="str">
        <f>IFERROR(VLOOKUP(C223,'BD Total'!$A$1:$H$506,4,0),"")</f>
        <v/>
      </c>
      <c r="G223" s="54" t="str">
        <f t="shared" si="4"/>
        <v/>
      </c>
      <c r="H223" t="str">
        <f>IFERROR(VLOOKUP(C223,'BD Total'!$A$1:$G$506,6,0),"")</f>
        <v/>
      </c>
      <c r="I223" t="str">
        <f>IFERROR(VLOOKUP(C223,'BD Total'!$A$1:$G$506,7,0),"")</f>
        <v/>
      </c>
    </row>
    <row r="224" spans="2:9" x14ac:dyDescent="0.3">
      <c r="B224" s="1"/>
      <c r="C224" s="1"/>
      <c r="D224" s="13" t="str">
        <f>IFERROR(VLOOKUP(C224,'BD Total'!$A$1:$H$506,3,0),"")</f>
        <v/>
      </c>
      <c r="E224" s="13"/>
      <c r="F224" s="14" t="str">
        <f>IFERROR(VLOOKUP(C224,'BD Total'!$A$1:$H$506,4,0),"")</f>
        <v/>
      </c>
      <c r="G224" s="54" t="str">
        <f t="shared" si="4"/>
        <v/>
      </c>
      <c r="H224" t="str">
        <f>IFERROR(VLOOKUP(C224,'BD Total'!$A$1:$G$506,6,0),"")</f>
        <v/>
      </c>
      <c r="I224" t="str">
        <f>IFERROR(VLOOKUP(C224,'BD Total'!$A$1:$G$506,7,0),"")</f>
        <v/>
      </c>
    </row>
    <row r="225" spans="2:9" x14ac:dyDescent="0.3">
      <c r="B225" s="1"/>
      <c r="C225" s="1"/>
      <c r="D225" s="13" t="str">
        <f>IFERROR(VLOOKUP(C225,'BD Total'!$A$1:$H$506,3,0),"")</f>
        <v/>
      </c>
      <c r="E225" s="13"/>
      <c r="F225" s="14" t="str">
        <f>IFERROR(VLOOKUP(C225,'BD Total'!$A$1:$H$506,4,0),"")</f>
        <v/>
      </c>
      <c r="G225" s="54" t="str">
        <f t="shared" si="4"/>
        <v/>
      </c>
      <c r="H225" t="str">
        <f>IFERROR(VLOOKUP(C225,'BD Total'!$A$1:$G$506,6,0),"")</f>
        <v/>
      </c>
      <c r="I225" t="str">
        <f>IFERROR(VLOOKUP(C225,'BD Total'!$A$1:$G$506,7,0),"")</f>
        <v/>
      </c>
    </row>
    <row r="226" spans="2:9" x14ac:dyDescent="0.3">
      <c r="B226" s="1"/>
      <c r="C226" s="1"/>
      <c r="D226" s="13" t="str">
        <f>IFERROR(VLOOKUP(C226,'BD Total'!$A$1:$H$506,3,0),"")</f>
        <v/>
      </c>
      <c r="E226" s="13"/>
      <c r="F226" s="14" t="str">
        <f>IFERROR(VLOOKUP(C226,'BD Total'!$A$1:$H$506,4,0),"")</f>
        <v/>
      </c>
      <c r="G226" s="54" t="str">
        <f t="shared" si="4"/>
        <v/>
      </c>
      <c r="H226" t="str">
        <f>IFERROR(VLOOKUP(C226,'BD Total'!$A$1:$G$506,6,0),"")</f>
        <v/>
      </c>
      <c r="I226" t="str">
        <f>IFERROR(VLOOKUP(C226,'BD Total'!$A$1:$G$506,7,0),"")</f>
        <v/>
      </c>
    </row>
    <row r="227" spans="2:9" x14ac:dyDescent="0.3">
      <c r="B227" s="1"/>
      <c r="C227" s="1"/>
      <c r="D227" s="13" t="str">
        <f>IFERROR(VLOOKUP(C227,'BD Total'!$A$1:$H$506,3,0),"")</f>
        <v/>
      </c>
      <c r="E227" s="13"/>
      <c r="F227" s="14" t="str">
        <f>IFERROR(VLOOKUP(C227,'BD Total'!$A$1:$H$506,4,0),"")</f>
        <v/>
      </c>
      <c r="G227" s="54" t="str">
        <f t="shared" si="4"/>
        <v/>
      </c>
      <c r="H227" t="str">
        <f>IFERROR(VLOOKUP(C227,'BD Total'!$A$1:$G$506,6,0),"")</f>
        <v/>
      </c>
      <c r="I227" t="str">
        <f>IFERROR(VLOOKUP(C227,'BD Total'!$A$1:$G$506,7,0),"")</f>
        <v/>
      </c>
    </row>
    <row r="228" spans="2:9" x14ac:dyDescent="0.3">
      <c r="B228" s="1"/>
      <c r="C228" s="1"/>
      <c r="D228" s="13" t="str">
        <f>IFERROR(VLOOKUP(C228,'BD Total'!$A$1:$H$506,3,0),"")</f>
        <v/>
      </c>
      <c r="E228" s="13"/>
      <c r="F228" s="14" t="str">
        <f>IFERROR(VLOOKUP(C228,'BD Total'!$A$1:$H$506,4,0),"")</f>
        <v/>
      </c>
      <c r="G228" s="54" t="str">
        <f t="shared" si="4"/>
        <v/>
      </c>
      <c r="H228" t="str">
        <f>IFERROR(VLOOKUP(C228,'BD Total'!$A$1:$G$506,6,0),"")</f>
        <v/>
      </c>
      <c r="I228" t="str">
        <f>IFERROR(VLOOKUP(C228,'BD Total'!$A$1:$G$506,7,0),"")</f>
        <v/>
      </c>
    </row>
    <row r="229" spans="2:9" x14ac:dyDescent="0.3">
      <c r="B229" s="1"/>
      <c r="C229" s="1"/>
      <c r="D229" s="13" t="str">
        <f>IFERROR(VLOOKUP(C229,'BD Total'!$A$1:$H$506,3,0),"")</f>
        <v/>
      </c>
      <c r="E229" s="13"/>
      <c r="F229" s="14" t="str">
        <f>IFERROR(VLOOKUP(C229,'BD Total'!$A$1:$H$506,4,0),"")</f>
        <v/>
      </c>
      <c r="G229" s="54" t="str">
        <f t="shared" si="4"/>
        <v/>
      </c>
      <c r="H229" t="str">
        <f>IFERROR(VLOOKUP(C229,'BD Total'!$A$1:$G$506,6,0),"")</f>
        <v/>
      </c>
      <c r="I229" t="str">
        <f>IFERROR(VLOOKUP(C229,'BD Total'!$A$1:$G$506,7,0),"")</f>
        <v/>
      </c>
    </row>
    <row r="230" spans="2:9" x14ac:dyDescent="0.3">
      <c r="B230" s="1"/>
      <c r="C230" s="1"/>
      <c r="D230" s="13" t="str">
        <f>IFERROR(VLOOKUP(C230,'BD Total'!$A$1:$H$506,3,0),"")</f>
        <v/>
      </c>
      <c r="E230" s="13"/>
      <c r="F230" s="14" t="str">
        <f>IFERROR(VLOOKUP(C230,'BD Total'!$A$1:$H$506,4,0),"")</f>
        <v/>
      </c>
      <c r="G230" s="54" t="str">
        <f t="shared" si="4"/>
        <v/>
      </c>
      <c r="H230" t="str">
        <f>IFERROR(VLOOKUP(C230,'BD Total'!$A$1:$G$506,6,0),"")</f>
        <v/>
      </c>
      <c r="I230" t="str">
        <f>IFERROR(VLOOKUP(C230,'BD Total'!$A$1:$G$506,7,0),"")</f>
        <v/>
      </c>
    </row>
    <row r="231" spans="2:9" x14ac:dyDescent="0.3">
      <c r="B231" s="1"/>
      <c r="C231" s="1"/>
      <c r="D231" s="13" t="str">
        <f>IFERROR(VLOOKUP(C231,'BD Total'!$A$1:$H$506,3,0),"")</f>
        <v/>
      </c>
      <c r="E231" s="13"/>
      <c r="F231" s="14" t="str">
        <f>IFERROR(VLOOKUP(C231,'BD Total'!$A$1:$H$506,4,0),"")</f>
        <v/>
      </c>
      <c r="G231" s="54" t="str">
        <f t="shared" si="4"/>
        <v/>
      </c>
      <c r="H231" t="str">
        <f>IFERROR(VLOOKUP(C231,'BD Total'!$A$1:$G$506,6,0),"")</f>
        <v/>
      </c>
      <c r="I231" t="str">
        <f>IFERROR(VLOOKUP(C231,'BD Total'!$A$1:$G$506,7,0),"")</f>
        <v/>
      </c>
    </row>
    <row r="232" spans="2:9" x14ac:dyDescent="0.3">
      <c r="B232" s="1"/>
      <c r="C232" s="1"/>
      <c r="D232" s="13" t="str">
        <f>IFERROR(VLOOKUP(C232,'BD Total'!$A$1:$H$506,3,0),"")</f>
        <v/>
      </c>
      <c r="E232" s="13"/>
      <c r="F232" s="14" t="str">
        <f>IFERROR(VLOOKUP(C232,'BD Total'!$A$1:$H$506,4,0),"")</f>
        <v/>
      </c>
      <c r="G232" s="54" t="str">
        <f t="shared" si="4"/>
        <v/>
      </c>
      <c r="H232" t="str">
        <f>IFERROR(VLOOKUP(C232,'BD Total'!$A$1:$G$506,6,0),"")</f>
        <v/>
      </c>
      <c r="I232" t="str">
        <f>IFERROR(VLOOKUP(C232,'BD Total'!$A$1:$G$506,7,0),"")</f>
        <v/>
      </c>
    </row>
    <row r="233" spans="2:9" x14ac:dyDescent="0.3">
      <c r="B233" s="1"/>
      <c r="C233" s="1"/>
      <c r="D233" s="13" t="str">
        <f>IFERROR(VLOOKUP(C233,'BD Total'!$A$1:$H$506,3,0),"")</f>
        <v/>
      </c>
      <c r="E233" s="13"/>
      <c r="F233" s="14" t="str">
        <f>IFERROR(VLOOKUP(C233,'BD Total'!$A$1:$H$506,4,0),"")</f>
        <v/>
      </c>
      <c r="G233" s="54" t="str">
        <f t="shared" si="4"/>
        <v/>
      </c>
      <c r="H233" t="str">
        <f>IFERROR(VLOOKUP(C233,'BD Total'!$A$1:$G$506,6,0),"")</f>
        <v/>
      </c>
      <c r="I233" t="str">
        <f>IFERROR(VLOOKUP(C233,'BD Total'!$A$1:$G$506,7,0),"")</f>
        <v/>
      </c>
    </row>
    <row r="234" spans="2:9" x14ac:dyDescent="0.3">
      <c r="B234" s="1"/>
      <c r="C234" s="1"/>
      <c r="D234" s="13" t="str">
        <f>IFERROR(VLOOKUP(C234,'BD Total'!$A$1:$H$506,3,0),"")</f>
        <v/>
      </c>
      <c r="E234" s="13"/>
      <c r="F234" s="14" t="str">
        <f>IFERROR(VLOOKUP(C234,'BD Total'!$A$1:$H$506,4,0),"")</f>
        <v/>
      </c>
      <c r="G234" s="54" t="str">
        <f t="shared" si="4"/>
        <v/>
      </c>
      <c r="H234" t="str">
        <f>IFERROR(VLOOKUP(C234,'BD Total'!$A$1:$G$506,6,0),"")</f>
        <v/>
      </c>
      <c r="I234" t="str">
        <f>IFERROR(VLOOKUP(C234,'BD Total'!$A$1:$G$506,7,0),"")</f>
        <v/>
      </c>
    </row>
    <row r="235" spans="2:9" x14ac:dyDescent="0.3">
      <c r="B235" s="1"/>
      <c r="C235" s="1"/>
      <c r="D235" s="13" t="str">
        <f>IFERROR(VLOOKUP(C235,'BD Total'!$A$1:$H$506,3,0),"")</f>
        <v/>
      </c>
      <c r="E235" s="13"/>
      <c r="F235" s="14" t="str">
        <f>IFERROR(VLOOKUP(C235,'BD Total'!$A$1:$H$506,4,0),"")</f>
        <v/>
      </c>
      <c r="G235" s="54" t="str">
        <f t="shared" si="4"/>
        <v/>
      </c>
      <c r="H235" t="str">
        <f>IFERROR(VLOOKUP(C235,'BD Total'!$A$1:$G$506,6,0),"")</f>
        <v/>
      </c>
      <c r="I235" t="str">
        <f>IFERROR(VLOOKUP(C235,'BD Total'!$A$1:$G$506,7,0),"")</f>
        <v/>
      </c>
    </row>
    <row r="236" spans="2:9" x14ac:dyDescent="0.3">
      <c r="B236" s="1"/>
      <c r="C236" s="1"/>
      <c r="D236" s="13" t="str">
        <f>IFERROR(VLOOKUP(C236,'BD Total'!$A$1:$H$506,3,0),"")</f>
        <v/>
      </c>
      <c r="E236" s="13"/>
      <c r="F236" s="14" t="str">
        <f>IFERROR(VLOOKUP(C236,'BD Total'!$A$1:$H$506,4,0),"")</f>
        <v/>
      </c>
      <c r="G236" s="54" t="str">
        <f t="shared" si="4"/>
        <v/>
      </c>
      <c r="H236" t="str">
        <f>IFERROR(VLOOKUP(C236,'BD Total'!$A$1:$G$506,6,0),"")</f>
        <v/>
      </c>
      <c r="I236" t="str">
        <f>IFERROR(VLOOKUP(C236,'BD Total'!$A$1:$G$506,7,0),"")</f>
        <v/>
      </c>
    </row>
    <row r="237" spans="2:9" x14ac:dyDescent="0.3">
      <c r="B237" s="1"/>
      <c r="C237" s="1"/>
      <c r="D237" s="13" t="str">
        <f>IFERROR(VLOOKUP(C237,'BD Total'!$A$1:$H$506,3,0),"")</f>
        <v/>
      </c>
      <c r="E237" s="13"/>
      <c r="F237" s="14" t="str">
        <f>IFERROR(VLOOKUP(C237,'BD Total'!$A$1:$H$506,4,0),"")</f>
        <v/>
      </c>
      <c r="G237" s="54" t="str">
        <f t="shared" si="4"/>
        <v/>
      </c>
      <c r="H237" t="str">
        <f>IFERROR(VLOOKUP(C237,'BD Total'!$A$1:$G$506,6,0),"")</f>
        <v/>
      </c>
      <c r="I237" t="str">
        <f>IFERROR(VLOOKUP(C237,'BD Total'!$A$1:$G$506,7,0),"")</f>
        <v/>
      </c>
    </row>
    <row r="238" spans="2:9" x14ac:dyDescent="0.3">
      <c r="B238" s="1"/>
      <c r="C238" s="1"/>
      <c r="D238" s="13" t="str">
        <f>IFERROR(VLOOKUP(C238,'BD Total'!$A$1:$H$506,3,0),"")</f>
        <v/>
      </c>
      <c r="E238" s="13"/>
      <c r="F238" s="14" t="str">
        <f>IFERROR(VLOOKUP(C238,'BD Total'!$A$1:$H$506,4,0),"")</f>
        <v/>
      </c>
      <c r="G238" s="54" t="str">
        <f t="shared" si="4"/>
        <v/>
      </c>
      <c r="H238" t="str">
        <f>IFERROR(VLOOKUP(C238,'BD Total'!$A$1:$G$506,6,0),"")</f>
        <v/>
      </c>
      <c r="I238" t="str">
        <f>IFERROR(VLOOKUP(C238,'BD Total'!$A$1:$G$506,7,0),"")</f>
        <v/>
      </c>
    </row>
    <row r="239" spans="2:9" x14ac:dyDescent="0.3">
      <c r="B239" s="1"/>
      <c r="C239" s="1"/>
      <c r="D239" s="13" t="str">
        <f>IFERROR(VLOOKUP(C239,'BD Total'!$A$1:$H$506,3,0),"")</f>
        <v/>
      </c>
      <c r="E239" s="13"/>
      <c r="F239" s="14" t="str">
        <f>IFERROR(VLOOKUP(C239,'BD Total'!$A$1:$H$506,4,0),"")</f>
        <v/>
      </c>
      <c r="G239" s="54" t="str">
        <f t="shared" si="4"/>
        <v/>
      </c>
      <c r="H239" t="str">
        <f>IFERROR(VLOOKUP(C239,'BD Total'!$A$1:$G$506,6,0),"")</f>
        <v/>
      </c>
      <c r="I239" t="str">
        <f>IFERROR(VLOOKUP(C239,'BD Total'!$A$1:$G$506,7,0),"")</f>
        <v/>
      </c>
    </row>
    <row r="240" spans="2:9" x14ac:dyDescent="0.3">
      <c r="B240" s="1"/>
      <c r="C240" s="1"/>
      <c r="D240" s="13" t="str">
        <f>IFERROR(VLOOKUP(C240,'BD Total'!$A$1:$H$506,3,0),"")</f>
        <v/>
      </c>
      <c r="E240" s="13"/>
      <c r="F240" s="14" t="str">
        <f>IFERROR(VLOOKUP(C240,'BD Total'!$A$1:$H$506,4,0),"")</f>
        <v/>
      </c>
      <c r="G240" s="54" t="str">
        <f t="shared" si="4"/>
        <v/>
      </c>
      <c r="H240" t="str">
        <f>IFERROR(VLOOKUP(C240,'BD Total'!$A$1:$G$506,6,0),"")</f>
        <v/>
      </c>
      <c r="I240" t="str">
        <f>IFERROR(VLOOKUP(C240,'BD Total'!$A$1:$G$506,7,0),"")</f>
        <v/>
      </c>
    </row>
    <row r="241" spans="2:9" x14ac:dyDescent="0.3">
      <c r="B241" s="1"/>
      <c r="C241" s="1"/>
      <c r="D241" s="13" t="str">
        <f>IFERROR(VLOOKUP(C241,'BD Total'!$A$1:$H$506,3,0),"")</f>
        <v/>
      </c>
      <c r="E241" s="13"/>
      <c r="F241" s="14" t="str">
        <f>IFERROR(VLOOKUP(C241,'BD Total'!$A$1:$H$506,4,0),"")</f>
        <v/>
      </c>
      <c r="G241" s="54" t="str">
        <f t="shared" si="4"/>
        <v/>
      </c>
      <c r="H241" t="str">
        <f>IFERROR(VLOOKUP(C241,'BD Total'!$A$1:$G$506,6,0),"")</f>
        <v/>
      </c>
      <c r="I241" t="str">
        <f>IFERROR(VLOOKUP(C241,'BD Total'!$A$1:$G$506,7,0),"")</f>
        <v/>
      </c>
    </row>
    <row r="242" spans="2:9" x14ac:dyDescent="0.3">
      <c r="B242" s="1"/>
      <c r="C242" s="1"/>
      <c r="D242" s="13" t="str">
        <f>IFERROR(VLOOKUP(C242,'BD Total'!$A$1:$H$506,3,0),"")</f>
        <v/>
      </c>
      <c r="E242" s="13"/>
      <c r="F242" s="14" t="str">
        <f>IFERROR(VLOOKUP(C242,'BD Total'!$A$1:$H$506,4,0),"")</f>
        <v/>
      </c>
      <c r="G242" s="54" t="str">
        <f t="shared" si="4"/>
        <v/>
      </c>
      <c r="H242" t="str">
        <f>IFERROR(VLOOKUP(C242,'BD Total'!$A$1:$G$506,6,0),"")</f>
        <v/>
      </c>
      <c r="I242" t="str">
        <f>IFERROR(VLOOKUP(C242,'BD Total'!$A$1:$G$506,7,0),"")</f>
        <v/>
      </c>
    </row>
    <row r="243" spans="2:9" x14ac:dyDescent="0.3">
      <c r="B243" s="1"/>
      <c r="C243" s="1"/>
      <c r="D243" s="13" t="str">
        <f>IFERROR(VLOOKUP(C243,'BD Total'!$A$1:$H$506,3,0),"")</f>
        <v/>
      </c>
      <c r="E243" s="13"/>
      <c r="F243" s="14" t="str">
        <f>IFERROR(VLOOKUP(C243,'BD Total'!$A$1:$H$506,4,0),"")</f>
        <v/>
      </c>
      <c r="G243" s="54" t="str">
        <f t="shared" si="4"/>
        <v/>
      </c>
      <c r="H243" t="str">
        <f>IFERROR(VLOOKUP(C243,'BD Total'!$A$1:$G$506,6,0),"")</f>
        <v/>
      </c>
      <c r="I243" t="str">
        <f>IFERROR(VLOOKUP(C243,'BD Total'!$A$1:$G$506,7,0),"")</f>
        <v/>
      </c>
    </row>
    <row r="244" spans="2:9" x14ac:dyDescent="0.3">
      <c r="B244" s="1"/>
      <c r="C244" s="1"/>
      <c r="D244" s="13" t="str">
        <f>IFERROR(VLOOKUP(C244,'BD Total'!$A$1:$H$506,3,0),"")</f>
        <v/>
      </c>
      <c r="E244" s="13"/>
      <c r="F244" s="14" t="str">
        <f>IFERROR(VLOOKUP(C244,'BD Total'!$A$1:$H$506,4,0),"")</f>
        <v/>
      </c>
      <c r="G244" s="54" t="str">
        <f t="shared" si="4"/>
        <v/>
      </c>
      <c r="H244" t="str">
        <f>IFERROR(VLOOKUP(C244,'BD Total'!$A$1:$G$506,6,0),"")</f>
        <v/>
      </c>
      <c r="I244" t="str">
        <f>IFERROR(VLOOKUP(C244,'BD Total'!$A$1:$G$506,7,0),"")</f>
        <v/>
      </c>
    </row>
    <row r="245" spans="2:9" x14ac:dyDescent="0.3">
      <c r="B245" s="1"/>
      <c r="C245" s="1"/>
      <c r="D245" s="13" t="str">
        <f>IFERROR(VLOOKUP(C245,'BD Total'!$A$1:$H$506,3,0),"")</f>
        <v/>
      </c>
      <c r="E245" s="13"/>
      <c r="F245" s="14" t="str">
        <f>IFERROR(VLOOKUP(C245,'BD Total'!$A$1:$H$506,4,0),"")</f>
        <v/>
      </c>
      <c r="G245" s="54" t="str">
        <f t="shared" si="4"/>
        <v/>
      </c>
      <c r="H245" t="str">
        <f>IFERROR(VLOOKUP(C245,'BD Total'!$A$1:$G$506,6,0),"")</f>
        <v/>
      </c>
      <c r="I245" t="str">
        <f>IFERROR(VLOOKUP(C245,'BD Total'!$A$1:$G$506,7,0),"")</f>
        <v/>
      </c>
    </row>
    <row r="246" spans="2:9" x14ac:dyDescent="0.3">
      <c r="B246" s="1"/>
      <c r="C246" s="1"/>
      <c r="D246" s="13" t="str">
        <f>IFERROR(VLOOKUP(C246,'BD Total'!$A$1:$H$506,3,0),"")</f>
        <v/>
      </c>
      <c r="E246" s="13"/>
      <c r="F246" s="14" t="str">
        <f>IFERROR(VLOOKUP(C246,'BD Total'!$A$1:$H$506,4,0),"")</f>
        <v/>
      </c>
      <c r="G246" s="54" t="str">
        <f t="shared" si="4"/>
        <v/>
      </c>
      <c r="H246" t="str">
        <f>IFERROR(VLOOKUP(C246,'BD Total'!$A$1:$G$506,6,0),"")</f>
        <v/>
      </c>
      <c r="I246" t="str">
        <f>IFERROR(VLOOKUP(C246,'BD Total'!$A$1:$G$506,7,0),"")</f>
        <v/>
      </c>
    </row>
    <row r="247" spans="2:9" x14ac:dyDescent="0.3">
      <c r="B247" s="1"/>
      <c r="C247" s="1"/>
      <c r="D247" s="13" t="str">
        <f>IFERROR(VLOOKUP(C247,'BD Total'!$A$1:$H$506,3,0),"")</f>
        <v/>
      </c>
      <c r="E247" s="13"/>
      <c r="F247" s="14" t="str">
        <f>IFERROR(VLOOKUP(C247,'BD Total'!$A$1:$H$506,4,0),"")</f>
        <v/>
      </c>
      <c r="G247" s="54" t="str">
        <f t="shared" ref="G247:G298" si="5">IFERROR(F247*E247,"")</f>
        <v/>
      </c>
      <c r="H247" t="str">
        <f>IFERROR(VLOOKUP(C247,'BD Total'!$A$1:$G$506,6,0),"")</f>
        <v/>
      </c>
      <c r="I247" t="str">
        <f>IFERROR(VLOOKUP(C247,'BD Total'!$A$1:$G$506,7,0),"")</f>
        <v/>
      </c>
    </row>
    <row r="248" spans="2:9" x14ac:dyDescent="0.3">
      <c r="B248" s="1"/>
      <c r="C248" s="1"/>
      <c r="D248" s="13" t="str">
        <f>IFERROR(VLOOKUP(C248,'BD Total'!$A$1:$H$506,3,0),"")</f>
        <v/>
      </c>
      <c r="E248" s="13"/>
      <c r="F248" s="14" t="str">
        <f>IFERROR(VLOOKUP(C248,'BD Total'!$A$1:$H$506,4,0),"")</f>
        <v/>
      </c>
      <c r="G248" s="54" t="str">
        <f t="shared" si="5"/>
        <v/>
      </c>
      <c r="H248" t="str">
        <f>IFERROR(VLOOKUP(C248,'BD Total'!$A$1:$G$506,6,0),"")</f>
        <v/>
      </c>
      <c r="I248" t="str">
        <f>IFERROR(VLOOKUP(C248,'BD Total'!$A$1:$G$506,7,0),"")</f>
        <v/>
      </c>
    </row>
    <row r="249" spans="2:9" x14ac:dyDescent="0.3">
      <c r="B249" s="1"/>
      <c r="C249" s="1"/>
      <c r="D249" s="13" t="str">
        <f>IFERROR(VLOOKUP(C249,'BD Total'!$A$1:$H$506,3,0),"")</f>
        <v/>
      </c>
      <c r="E249" s="13"/>
      <c r="F249" s="14" t="str">
        <f>IFERROR(VLOOKUP(C249,'BD Total'!$A$1:$H$506,4,0),"")</f>
        <v/>
      </c>
      <c r="G249" s="54" t="str">
        <f t="shared" si="5"/>
        <v/>
      </c>
      <c r="H249" t="str">
        <f>IFERROR(VLOOKUP(C249,'BD Total'!$A$1:$G$506,6,0),"")</f>
        <v/>
      </c>
      <c r="I249" t="str">
        <f>IFERROR(VLOOKUP(C249,'BD Total'!$A$1:$G$506,7,0),"")</f>
        <v/>
      </c>
    </row>
    <row r="250" spans="2:9" x14ac:dyDescent="0.3">
      <c r="B250" s="1"/>
      <c r="C250" s="1"/>
      <c r="D250" s="13" t="str">
        <f>IFERROR(VLOOKUP(C250,'BD Total'!$A$1:$H$506,3,0),"")</f>
        <v/>
      </c>
      <c r="E250" s="13"/>
      <c r="F250" s="14" t="str">
        <f>IFERROR(VLOOKUP(C250,'BD Total'!$A$1:$H$506,4,0),"")</f>
        <v/>
      </c>
      <c r="G250" s="54" t="str">
        <f t="shared" si="5"/>
        <v/>
      </c>
      <c r="H250" t="str">
        <f>IFERROR(VLOOKUP(C250,'BD Total'!$A$1:$G$506,6,0),"")</f>
        <v/>
      </c>
      <c r="I250" t="str">
        <f>IFERROR(VLOOKUP(C250,'BD Total'!$A$1:$G$506,7,0),"")</f>
        <v/>
      </c>
    </row>
    <row r="251" spans="2:9" x14ac:dyDescent="0.3">
      <c r="B251" s="1"/>
      <c r="C251" s="1"/>
      <c r="D251" s="13" t="str">
        <f>IFERROR(VLOOKUP(C251,'BD Total'!$A$1:$H$506,3,0),"")</f>
        <v/>
      </c>
      <c r="E251" s="13"/>
      <c r="F251" s="14" t="str">
        <f>IFERROR(VLOOKUP(C251,'BD Total'!$A$1:$H$506,4,0),"")</f>
        <v/>
      </c>
      <c r="G251" s="54" t="str">
        <f t="shared" si="5"/>
        <v/>
      </c>
      <c r="H251" t="str">
        <f>IFERROR(VLOOKUP(C251,'BD Total'!$A$1:$G$506,6,0),"")</f>
        <v/>
      </c>
      <c r="I251" t="str">
        <f>IFERROR(VLOOKUP(C251,'BD Total'!$A$1:$G$506,7,0),"")</f>
        <v/>
      </c>
    </row>
    <row r="252" spans="2:9" x14ac:dyDescent="0.3">
      <c r="B252" s="1"/>
      <c r="C252" s="1"/>
      <c r="D252" s="13" t="str">
        <f>IFERROR(VLOOKUP(C252,'BD Total'!$A$1:$H$506,3,0),"")</f>
        <v/>
      </c>
      <c r="E252" s="13"/>
      <c r="F252" s="14" t="str">
        <f>IFERROR(VLOOKUP(C252,'BD Total'!$A$1:$H$506,4,0),"")</f>
        <v/>
      </c>
      <c r="G252" s="54" t="str">
        <f t="shared" si="5"/>
        <v/>
      </c>
      <c r="H252" t="str">
        <f>IFERROR(VLOOKUP(C252,'BD Total'!$A$1:$G$506,6,0),"")</f>
        <v/>
      </c>
      <c r="I252" t="str">
        <f>IFERROR(VLOOKUP(C252,'BD Total'!$A$1:$G$506,7,0),"")</f>
        <v/>
      </c>
    </row>
    <row r="253" spans="2:9" x14ac:dyDescent="0.3">
      <c r="B253" s="1"/>
      <c r="C253" s="1"/>
      <c r="D253" s="13" t="str">
        <f>IFERROR(VLOOKUP(C253,'BD Total'!$A$1:$H$506,3,0),"")</f>
        <v/>
      </c>
      <c r="E253" s="13"/>
      <c r="F253" s="14" t="str">
        <f>IFERROR(VLOOKUP(C253,'BD Total'!$A$1:$H$506,4,0),"")</f>
        <v/>
      </c>
      <c r="G253" s="54" t="str">
        <f t="shared" si="5"/>
        <v/>
      </c>
      <c r="H253" t="str">
        <f>IFERROR(VLOOKUP(C253,'BD Total'!$A$1:$G$506,6,0),"")</f>
        <v/>
      </c>
      <c r="I253" t="str">
        <f>IFERROR(VLOOKUP(C253,'BD Total'!$A$1:$G$506,7,0),"")</f>
        <v/>
      </c>
    </row>
    <row r="254" spans="2:9" x14ac:dyDescent="0.3">
      <c r="B254" s="1"/>
      <c r="C254" s="1"/>
      <c r="D254" s="13" t="str">
        <f>IFERROR(VLOOKUP(C254,'BD Total'!$A$1:$H$506,3,0),"")</f>
        <v/>
      </c>
      <c r="E254" s="13"/>
      <c r="F254" s="14" t="str">
        <f>IFERROR(VLOOKUP(C254,'BD Total'!$A$1:$H$506,4,0),"")</f>
        <v/>
      </c>
      <c r="G254" s="54" t="str">
        <f t="shared" si="5"/>
        <v/>
      </c>
      <c r="H254" t="str">
        <f>IFERROR(VLOOKUP(C254,'BD Total'!$A$1:$G$506,6,0),"")</f>
        <v/>
      </c>
      <c r="I254" t="str">
        <f>IFERROR(VLOOKUP(C254,'BD Total'!$A$1:$G$506,7,0),"")</f>
        <v/>
      </c>
    </row>
    <row r="255" spans="2:9" x14ac:dyDescent="0.3">
      <c r="B255" s="1"/>
      <c r="C255" s="1"/>
      <c r="D255" s="13" t="str">
        <f>IFERROR(VLOOKUP(C255,'BD Total'!$A$1:$H$506,3,0),"")</f>
        <v/>
      </c>
      <c r="E255" s="13"/>
      <c r="F255" s="14" t="str">
        <f>IFERROR(VLOOKUP(C255,'BD Total'!$A$1:$H$506,4,0),"")</f>
        <v/>
      </c>
      <c r="G255" s="54" t="str">
        <f t="shared" si="5"/>
        <v/>
      </c>
      <c r="H255" t="str">
        <f>IFERROR(VLOOKUP(C255,'BD Total'!$A$1:$G$506,6,0),"")</f>
        <v/>
      </c>
      <c r="I255" t="str">
        <f>IFERROR(VLOOKUP(C255,'BD Total'!$A$1:$G$506,7,0),"")</f>
        <v/>
      </c>
    </row>
    <row r="256" spans="2:9" x14ac:dyDescent="0.3">
      <c r="B256" s="1"/>
      <c r="C256" s="1"/>
      <c r="D256" s="13" t="str">
        <f>IFERROR(VLOOKUP(C256,'BD Total'!$A$1:$H$506,3,0),"")</f>
        <v/>
      </c>
      <c r="E256" s="13"/>
      <c r="F256" s="14" t="str">
        <f>IFERROR(VLOOKUP(C256,'BD Total'!$A$1:$H$506,4,0),"")</f>
        <v/>
      </c>
      <c r="G256" s="54" t="str">
        <f t="shared" si="5"/>
        <v/>
      </c>
      <c r="H256" t="str">
        <f>IFERROR(VLOOKUP(C256,'BD Total'!$A$1:$G$506,6,0),"")</f>
        <v/>
      </c>
      <c r="I256" t="str">
        <f>IFERROR(VLOOKUP(C256,'BD Total'!$A$1:$G$506,7,0),"")</f>
        <v/>
      </c>
    </row>
    <row r="257" spans="2:9" x14ac:dyDescent="0.3">
      <c r="B257" s="1"/>
      <c r="C257" s="1"/>
      <c r="D257" s="13" t="str">
        <f>IFERROR(VLOOKUP(C257,'BD Total'!$A$1:$H$506,3,0),"")</f>
        <v/>
      </c>
      <c r="E257" s="13"/>
      <c r="F257" s="14" t="str">
        <f>IFERROR(VLOOKUP(C257,'BD Total'!$A$1:$H$506,4,0),"")</f>
        <v/>
      </c>
      <c r="G257" s="54" t="str">
        <f t="shared" si="5"/>
        <v/>
      </c>
      <c r="H257" t="str">
        <f>IFERROR(VLOOKUP(C257,'BD Total'!$A$1:$G$506,6,0),"")</f>
        <v/>
      </c>
      <c r="I257" t="str">
        <f>IFERROR(VLOOKUP(C257,'BD Total'!$A$1:$G$506,7,0),"")</f>
        <v/>
      </c>
    </row>
    <row r="258" spans="2:9" x14ac:dyDescent="0.3">
      <c r="B258" s="1"/>
      <c r="C258" s="1"/>
      <c r="D258" s="13" t="str">
        <f>IFERROR(VLOOKUP(C258,'BD Total'!$A$1:$H$506,3,0),"")</f>
        <v/>
      </c>
      <c r="E258" s="13"/>
      <c r="F258" s="14" t="str">
        <f>IFERROR(VLOOKUP(C258,'BD Total'!$A$1:$H$506,4,0),"")</f>
        <v/>
      </c>
      <c r="G258" s="54" t="str">
        <f t="shared" si="5"/>
        <v/>
      </c>
      <c r="H258" t="str">
        <f>IFERROR(VLOOKUP(C258,'BD Total'!$A$1:$G$506,6,0),"")</f>
        <v/>
      </c>
      <c r="I258" t="str">
        <f>IFERROR(VLOOKUP(C258,'BD Total'!$A$1:$G$506,7,0),"")</f>
        <v/>
      </c>
    </row>
    <row r="259" spans="2:9" x14ac:dyDescent="0.3">
      <c r="B259" s="1"/>
      <c r="C259" s="1"/>
      <c r="D259" s="13" t="str">
        <f>IFERROR(VLOOKUP(C259,'BD Total'!$A$1:$H$506,3,0),"")</f>
        <v/>
      </c>
      <c r="E259" s="13"/>
      <c r="F259" s="14" t="str">
        <f>IFERROR(VLOOKUP(C259,'BD Total'!$A$1:$H$506,4,0),"")</f>
        <v/>
      </c>
      <c r="G259" s="54" t="str">
        <f t="shared" si="5"/>
        <v/>
      </c>
      <c r="H259" t="str">
        <f>IFERROR(VLOOKUP(C259,'BD Total'!$A$1:$G$506,6,0),"")</f>
        <v/>
      </c>
      <c r="I259" t="str">
        <f>IFERROR(VLOOKUP(C259,'BD Total'!$A$1:$G$506,7,0),"")</f>
        <v/>
      </c>
    </row>
    <row r="260" spans="2:9" x14ac:dyDescent="0.3">
      <c r="B260" s="1"/>
      <c r="C260" s="1"/>
      <c r="D260" s="13" t="str">
        <f>IFERROR(VLOOKUP(C260,'BD Total'!$A$1:$H$506,3,0),"")</f>
        <v/>
      </c>
      <c r="E260" s="13"/>
      <c r="F260" s="14" t="str">
        <f>IFERROR(VLOOKUP(C260,'BD Total'!$A$1:$H$506,4,0),"")</f>
        <v/>
      </c>
      <c r="G260" s="54" t="str">
        <f t="shared" si="5"/>
        <v/>
      </c>
      <c r="H260" t="str">
        <f>IFERROR(VLOOKUP(C260,'BD Total'!$A$1:$G$506,6,0),"")</f>
        <v/>
      </c>
      <c r="I260" t="str">
        <f>IFERROR(VLOOKUP(C260,'BD Total'!$A$1:$G$506,7,0),"")</f>
        <v/>
      </c>
    </row>
    <row r="261" spans="2:9" x14ac:dyDescent="0.3">
      <c r="B261" s="1"/>
      <c r="C261" s="1"/>
      <c r="D261" s="13" t="str">
        <f>IFERROR(VLOOKUP(C261,'BD Total'!$A$1:$H$506,3,0),"")</f>
        <v/>
      </c>
      <c r="E261" s="13"/>
      <c r="F261" s="14" t="str">
        <f>IFERROR(VLOOKUP(C261,'BD Total'!$A$1:$H$506,4,0),"")</f>
        <v/>
      </c>
      <c r="G261" s="54" t="str">
        <f t="shared" si="5"/>
        <v/>
      </c>
      <c r="H261" t="str">
        <f>IFERROR(VLOOKUP(C261,'BD Total'!$A$1:$G$506,6,0),"")</f>
        <v/>
      </c>
      <c r="I261" t="str">
        <f>IFERROR(VLOOKUP(C261,'BD Total'!$A$1:$G$506,7,0),"")</f>
        <v/>
      </c>
    </row>
    <row r="262" spans="2:9" x14ac:dyDescent="0.3">
      <c r="B262" s="1"/>
      <c r="C262" s="1"/>
      <c r="D262" s="13" t="str">
        <f>IFERROR(VLOOKUP(C262,'BD Total'!$A$1:$H$506,3,0),"")</f>
        <v/>
      </c>
      <c r="E262" s="13"/>
      <c r="F262" s="14" t="str">
        <f>IFERROR(VLOOKUP(C262,'BD Total'!$A$1:$H$506,4,0),"")</f>
        <v/>
      </c>
      <c r="G262" s="54" t="str">
        <f t="shared" si="5"/>
        <v/>
      </c>
      <c r="H262" t="str">
        <f>IFERROR(VLOOKUP(C262,'BD Total'!$A$1:$G$506,6,0),"")</f>
        <v/>
      </c>
      <c r="I262" t="str">
        <f>IFERROR(VLOOKUP(C262,'BD Total'!$A$1:$G$506,7,0),"")</f>
        <v/>
      </c>
    </row>
    <row r="263" spans="2:9" x14ac:dyDescent="0.3">
      <c r="B263" s="1"/>
      <c r="C263" s="1"/>
      <c r="D263" s="13" t="str">
        <f>IFERROR(VLOOKUP(C263,'BD Total'!$A$1:$H$506,3,0),"")</f>
        <v/>
      </c>
      <c r="E263" s="13"/>
      <c r="F263" s="14" t="str">
        <f>IFERROR(VLOOKUP(C263,'BD Total'!$A$1:$H$506,4,0),"")</f>
        <v/>
      </c>
      <c r="G263" s="54" t="str">
        <f t="shared" si="5"/>
        <v/>
      </c>
      <c r="H263" t="str">
        <f>IFERROR(VLOOKUP(C263,'BD Total'!$A$1:$G$506,6,0),"")</f>
        <v/>
      </c>
      <c r="I263" t="str">
        <f>IFERROR(VLOOKUP(C263,'BD Total'!$A$1:$G$506,7,0),"")</f>
        <v/>
      </c>
    </row>
    <row r="264" spans="2:9" x14ac:dyDescent="0.3">
      <c r="B264" s="1"/>
      <c r="C264" s="1"/>
      <c r="D264" s="13" t="str">
        <f>IFERROR(VLOOKUP(C264,'BD Total'!$A$1:$H$506,3,0),"")</f>
        <v/>
      </c>
      <c r="E264" s="13"/>
      <c r="F264" s="14" t="str">
        <f>IFERROR(VLOOKUP(C264,'BD Total'!$A$1:$H$506,4,0),"")</f>
        <v/>
      </c>
      <c r="G264" s="54" t="str">
        <f t="shared" si="5"/>
        <v/>
      </c>
      <c r="H264" t="str">
        <f>IFERROR(VLOOKUP(C264,'BD Total'!$A$1:$G$506,6,0),"")</f>
        <v/>
      </c>
      <c r="I264" t="str">
        <f>IFERROR(VLOOKUP(C264,'BD Total'!$A$1:$G$506,7,0),"")</f>
        <v/>
      </c>
    </row>
    <row r="265" spans="2:9" x14ac:dyDescent="0.3">
      <c r="B265" s="1"/>
      <c r="C265" s="1"/>
      <c r="D265" s="13" t="str">
        <f>IFERROR(VLOOKUP(C265,'BD Total'!$A$1:$H$506,3,0),"")</f>
        <v/>
      </c>
      <c r="E265" s="13"/>
      <c r="F265" s="14" t="str">
        <f>IFERROR(VLOOKUP(C265,'BD Total'!$A$1:$H$506,4,0),"")</f>
        <v/>
      </c>
      <c r="G265" s="54" t="str">
        <f t="shared" si="5"/>
        <v/>
      </c>
      <c r="H265" t="str">
        <f>IFERROR(VLOOKUP(C265,'BD Total'!$A$1:$G$506,6,0),"")</f>
        <v/>
      </c>
      <c r="I265" t="str">
        <f>IFERROR(VLOOKUP(C265,'BD Total'!$A$1:$G$506,7,0),"")</f>
        <v/>
      </c>
    </row>
    <row r="266" spans="2:9" x14ac:dyDescent="0.3">
      <c r="B266" s="1"/>
      <c r="C266" s="1"/>
      <c r="D266" s="13" t="str">
        <f>IFERROR(VLOOKUP(C266,'BD Total'!$A$1:$H$506,3,0),"")</f>
        <v/>
      </c>
      <c r="E266" s="13"/>
      <c r="F266" s="14" t="str">
        <f>IFERROR(VLOOKUP(C266,'BD Total'!$A$1:$H$506,4,0),"")</f>
        <v/>
      </c>
      <c r="G266" s="54" t="str">
        <f t="shared" si="5"/>
        <v/>
      </c>
      <c r="H266" t="str">
        <f>IFERROR(VLOOKUP(C266,'BD Total'!$A$1:$G$506,6,0),"")</f>
        <v/>
      </c>
      <c r="I266" t="str">
        <f>IFERROR(VLOOKUP(C266,'BD Total'!$A$1:$G$506,7,0),"")</f>
        <v/>
      </c>
    </row>
    <row r="267" spans="2:9" x14ac:dyDescent="0.3">
      <c r="B267" s="1"/>
      <c r="C267" s="1"/>
      <c r="D267" s="13" t="str">
        <f>IFERROR(VLOOKUP(C267,'BD Total'!$A$1:$H$506,3,0),"")</f>
        <v/>
      </c>
      <c r="E267" s="13"/>
      <c r="F267" s="14" t="str">
        <f>IFERROR(VLOOKUP(C267,'BD Total'!$A$1:$H$506,4,0),"")</f>
        <v/>
      </c>
      <c r="G267" s="54" t="str">
        <f t="shared" si="5"/>
        <v/>
      </c>
      <c r="H267" t="str">
        <f>IFERROR(VLOOKUP(C267,'BD Total'!$A$1:$G$506,6,0),"")</f>
        <v/>
      </c>
      <c r="I267" t="str">
        <f>IFERROR(VLOOKUP(C267,'BD Total'!$A$1:$G$506,7,0),"")</f>
        <v/>
      </c>
    </row>
    <row r="268" spans="2:9" x14ac:dyDescent="0.3">
      <c r="B268" s="1"/>
      <c r="C268" s="1"/>
      <c r="D268" s="13" t="str">
        <f>IFERROR(VLOOKUP(C268,'BD Total'!$A$1:$H$506,3,0),"")</f>
        <v/>
      </c>
      <c r="E268" s="13"/>
      <c r="F268" s="14" t="str">
        <f>IFERROR(VLOOKUP(C268,'BD Total'!$A$1:$H$506,4,0),"")</f>
        <v/>
      </c>
      <c r="G268" s="54" t="str">
        <f t="shared" si="5"/>
        <v/>
      </c>
      <c r="H268" t="str">
        <f>IFERROR(VLOOKUP(C268,'BD Total'!$A$1:$G$506,6,0),"")</f>
        <v/>
      </c>
      <c r="I268" t="str">
        <f>IFERROR(VLOOKUP(C268,'BD Total'!$A$1:$G$506,7,0),"")</f>
        <v/>
      </c>
    </row>
    <row r="269" spans="2:9" x14ac:dyDescent="0.3">
      <c r="B269" s="1"/>
      <c r="C269" s="1"/>
      <c r="D269" s="13" t="str">
        <f>IFERROR(VLOOKUP(C269,'BD Total'!$A$1:$H$506,3,0),"")</f>
        <v/>
      </c>
      <c r="E269" s="13"/>
      <c r="F269" s="14" t="str">
        <f>IFERROR(VLOOKUP(C269,'BD Total'!$A$1:$H$506,4,0),"")</f>
        <v/>
      </c>
      <c r="G269" s="54" t="str">
        <f t="shared" si="5"/>
        <v/>
      </c>
      <c r="H269" t="str">
        <f>IFERROR(VLOOKUP(C269,'BD Total'!$A$1:$G$506,6,0),"")</f>
        <v/>
      </c>
      <c r="I269" t="str">
        <f>IFERROR(VLOOKUP(C269,'BD Total'!$A$1:$G$506,7,0),"")</f>
        <v/>
      </c>
    </row>
    <row r="270" spans="2:9" x14ac:dyDescent="0.3">
      <c r="B270" s="1"/>
      <c r="C270" s="1"/>
      <c r="D270" s="13" t="str">
        <f>IFERROR(VLOOKUP(C270,'BD Total'!$A$1:$H$506,3,0),"")</f>
        <v/>
      </c>
      <c r="E270" s="13"/>
      <c r="F270" s="14" t="str">
        <f>IFERROR(VLOOKUP(C270,'BD Total'!$A$1:$H$506,4,0),"")</f>
        <v/>
      </c>
      <c r="G270" s="54" t="str">
        <f t="shared" si="5"/>
        <v/>
      </c>
      <c r="H270" t="str">
        <f>IFERROR(VLOOKUP(C270,'BD Total'!$A$1:$G$506,6,0),"")</f>
        <v/>
      </c>
      <c r="I270" t="str">
        <f>IFERROR(VLOOKUP(C270,'BD Total'!$A$1:$G$506,7,0),"")</f>
        <v/>
      </c>
    </row>
    <row r="271" spans="2:9" x14ac:dyDescent="0.3">
      <c r="B271" s="1"/>
      <c r="C271" s="1"/>
      <c r="D271" s="13" t="str">
        <f>IFERROR(VLOOKUP(C271,'BD Total'!$A$1:$H$506,3,0),"")</f>
        <v/>
      </c>
      <c r="E271" s="13"/>
      <c r="F271" s="14" t="str">
        <f>IFERROR(VLOOKUP(C271,'BD Total'!$A$1:$H$506,4,0),"")</f>
        <v/>
      </c>
      <c r="G271" s="54" t="str">
        <f t="shared" si="5"/>
        <v/>
      </c>
      <c r="H271" t="str">
        <f>IFERROR(VLOOKUP(C271,'BD Total'!$A$1:$G$506,6,0),"")</f>
        <v/>
      </c>
      <c r="I271" t="str">
        <f>IFERROR(VLOOKUP(C271,'BD Total'!$A$1:$G$506,7,0),"")</f>
        <v/>
      </c>
    </row>
    <row r="272" spans="2:9" x14ac:dyDescent="0.3">
      <c r="B272" s="1"/>
      <c r="C272" s="1"/>
      <c r="D272" s="13" t="str">
        <f>IFERROR(VLOOKUP(C272,'BD Total'!$A$1:$H$506,3,0),"")</f>
        <v/>
      </c>
      <c r="E272" s="13"/>
      <c r="F272" s="14" t="str">
        <f>IFERROR(VLOOKUP(C272,'BD Total'!$A$1:$H$506,4,0),"")</f>
        <v/>
      </c>
      <c r="G272" s="54" t="str">
        <f t="shared" si="5"/>
        <v/>
      </c>
      <c r="H272" t="str">
        <f>IFERROR(VLOOKUP(C272,'BD Total'!$A$1:$G$506,6,0),"")</f>
        <v/>
      </c>
      <c r="I272" t="str">
        <f>IFERROR(VLOOKUP(C272,'BD Total'!$A$1:$G$506,7,0),"")</f>
        <v/>
      </c>
    </row>
    <row r="273" spans="2:9" x14ac:dyDescent="0.3">
      <c r="B273" s="1"/>
      <c r="C273" s="1"/>
      <c r="D273" s="13" t="str">
        <f>IFERROR(VLOOKUP(C273,'BD Total'!$A$1:$H$506,3,0),"")</f>
        <v/>
      </c>
      <c r="E273" s="13"/>
      <c r="F273" s="14" t="str">
        <f>IFERROR(VLOOKUP(C273,'BD Total'!$A$1:$H$506,4,0),"")</f>
        <v/>
      </c>
      <c r="G273" s="54" t="str">
        <f t="shared" si="5"/>
        <v/>
      </c>
      <c r="H273" t="str">
        <f>IFERROR(VLOOKUP(C273,'BD Total'!$A$1:$G$506,6,0),"")</f>
        <v/>
      </c>
      <c r="I273" t="str">
        <f>IFERROR(VLOOKUP(C273,'BD Total'!$A$1:$G$506,7,0),"")</f>
        <v/>
      </c>
    </row>
    <row r="274" spans="2:9" x14ac:dyDescent="0.3">
      <c r="B274" s="1"/>
      <c r="C274" s="1"/>
      <c r="D274" s="13" t="str">
        <f>IFERROR(VLOOKUP(C274,'BD Total'!$A$1:$H$506,3,0),"")</f>
        <v/>
      </c>
      <c r="E274" s="13"/>
      <c r="F274" s="14" t="str">
        <f>IFERROR(VLOOKUP(C274,'BD Total'!$A$1:$H$506,4,0),"")</f>
        <v/>
      </c>
      <c r="G274" s="54" t="str">
        <f t="shared" si="5"/>
        <v/>
      </c>
      <c r="H274" t="str">
        <f>IFERROR(VLOOKUP(C274,'BD Total'!$A$1:$G$506,6,0),"")</f>
        <v/>
      </c>
      <c r="I274" t="str">
        <f>IFERROR(VLOOKUP(C274,'BD Total'!$A$1:$G$506,7,0),"")</f>
        <v/>
      </c>
    </row>
    <row r="275" spans="2:9" x14ac:dyDescent="0.3">
      <c r="B275" s="1"/>
      <c r="C275" s="1"/>
      <c r="D275" s="13" t="str">
        <f>IFERROR(VLOOKUP(C275,'BD Total'!$A$1:$H$506,3,0),"")</f>
        <v/>
      </c>
      <c r="E275" s="13"/>
      <c r="F275" s="14" t="str">
        <f>IFERROR(VLOOKUP(C275,'BD Total'!$A$1:$H$506,4,0),"")</f>
        <v/>
      </c>
      <c r="G275" s="54" t="str">
        <f t="shared" si="5"/>
        <v/>
      </c>
      <c r="H275" t="str">
        <f>IFERROR(VLOOKUP(C275,'BD Total'!$A$1:$G$506,6,0),"")</f>
        <v/>
      </c>
      <c r="I275" t="str">
        <f>IFERROR(VLOOKUP(C275,'BD Total'!$A$1:$G$506,7,0),"")</f>
        <v/>
      </c>
    </row>
    <row r="276" spans="2:9" x14ac:dyDescent="0.3">
      <c r="B276" s="1"/>
      <c r="C276" s="1"/>
      <c r="D276" s="13" t="str">
        <f>IFERROR(VLOOKUP(C276,'BD Total'!$A$1:$H$506,3,0),"")</f>
        <v/>
      </c>
      <c r="E276" s="13"/>
      <c r="F276" s="14" t="str">
        <f>IFERROR(VLOOKUP(C276,'BD Total'!$A$1:$H$506,4,0),"")</f>
        <v/>
      </c>
      <c r="G276" s="54" t="str">
        <f t="shared" si="5"/>
        <v/>
      </c>
      <c r="H276" t="str">
        <f>IFERROR(VLOOKUP(C276,'BD Total'!$A$1:$G$506,6,0),"")</f>
        <v/>
      </c>
      <c r="I276" t="str">
        <f>IFERROR(VLOOKUP(C276,'BD Total'!$A$1:$G$506,7,0),"")</f>
        <v/>
      </c>
    </row>
    <row r="277" spans="2:9" x14ac:dyDescent="0.3">
      <c r="B277" s="1"/>
      <c r="C277" s="1"/>
      <c r="D277" s="13" t="str">
        <f>IFERROR(VLOOKUP(C277,'BD Total'!$A$1:$H$506,3,0),"")</f>
        <v/>
      </c>
      <c r="E277" s="13"/>
      <c r="F277" s="14" t="str">
        <f>IFERROR(VLOOKUP(C277,'BD Total'!$A$1:$H$506,4,0),"")</f>
        <v/>
      </c>
      <c r="G277" s="54" t="str">
        <f t="shared" si="5"/>
        <v/>
      </c>
      <c r="H277" t="str">
        <f>IFERROR(VLOOKUP(C277,'BD Total'!$A$1:$G$506,6,0),"")</f>
        <v/>
      </c>
      <c r="I277" t="str">
        <f>IFERROR(VLOOKUP(C277,'BD Total'!$A$1:$G$506,7,0),"")</f>
        <v/>
      </c>
    </row>
    <row r="278" spans="2:9" x14ac:dyDescent="0.3">
      <c r="B278" s="1"/>
      <c r="C278" s="1"/>
      <c r="D278" s="13" t="str">
        <f>IFERROR(VLOOKUP(C278,'BD Total'!$A$1:$H$506,3,0),"")</f>
        <v/>
      </c>
      <c r="E278" s="13"/>
      <c r="F278" s="14" t="str">
        <f>IFERROR(VLOOKUP(C278,'BD Total'!$A$1:$H$506,4,0),"")</f>
        <v/>
      </c>
      <c r="G278" s="54" t="str">
        <f t="shared" si="5"/>
        <v/>
      </c>
      <c r="H278" t="str">
        <f>IFERROR(VLOOKUP(C278,'BD Total'!$A$1:$G$506,6,0),"")</f>
        <v/>
      </c>
      <c r="I278" t="str">
        <f>IFERROR(VLOOKUP(C278,'BD Total'!$A$1:$G$506,7,0),"")</f>
        <v/>
      </c>
    </row>
    <row r="279" spans="2:9" x14ac:dyDescent="0.3">
      <c r="B279" s="1"/>
      <c r="C279" s="1"/>
      <c r="D279" s="13" t="str">
        <f>IFERROR(VLOOKUP(C279,'BD Total'!$A$1:$H$506,3,0),"")</f>
        <v/>
      </c>
      <c r="E279" s="13"/>
      <c r="F279" s="14" t="str">
        <f>IFERROR(VLOOKUP(C279,'BD Total'!$A$1:$H$506,4,0),"")</f>
        <v/>
      </c>
      <c r="G279" s="54" t="str">
        <f t="shared" si="5"/>
        <v/>
      </c>
      <c r="H279" t="str">
        <f>IFERROR(VLOOKUP(C279,'BD Total'!$A$1:$G$506,6,0),"")</f>
        <v/>
      </c>
      <c r="I279" t="str">
        <f>IFERROR(VLOOKUP(C279,'BD Total'!$A$1:$G$506,7,0),"")</f>
        <v/>
      </c>
    </row>
    <row r="280" spans="2:9" x14ac:dyDescent="0.3">
      <c r="B280" s="1"/>
      <c r="C280" s="1"/>
      <c r="D280" s="13" t="str">
        <f>IFERROR(VLOOKUP(C280,'BD Total'!$A$1:$H$506,3,0),"")</f>
        <v/>
      </c>
      <c r="E280" s="13"/>
      <c r="F280" s="14" t="str">
        <f>IFERROR(VLOOKUP(C280,'BD Total'!$A$1:$H$506,4,0),"")</f>
        <v/>
      </c>
      <c r="G280" s="54" t="str">
        <f t="shared" si="5"/>
        <v/>
      </c>
      <c r="H280" t="str">
        <f>IFERROR(VLOOKUP(C280,'BD Total'!$A$1:$G$506,6,0),"")</f>
        <v/>
      </c>
      <c r="I280" t="str">
        <f>IFERROR(VLOOKUP(C280,'BD Total'!$A$1:$G$506,7,0),"")</f>
        <v/>
      </c>
    </row>
    <row r="281" spans="2:9" x14ac:dyDescent="0.3">
      <c r="B281" s="1"/>
      <c r="C281" s="1"/>
      <c r="D281" s="13" t="str">
        <f>IFERROR(VLOOKUP(C281,'BD Total'!$A$1:$H$506,3,0),"")</f>
        <v/>
      </c>
      <c r="E281" s="13"/>
      <c r="F281" s="14" t="str">
        <f>IFERROR(VLOOKUP(C281,'BD Total'!$A$1:$H$506,4,0),"")</f>
        <v/>
      </c>
      <c r="G281" s="54" t="str">
        <f t="shared" si="5"/>
        <v/>
      </c>
      <c r="H281" t="str">
        <f>IFERROR(VLOOKUP(C281,'BD Total'!$A$1:$G$506,6,0),"")</f>
        <v/>
      </c>
      <c r="I281" t="str">
        <f>IFERROR(VLOOKUP(C281,'BD Total'!$A$1:$G$506,7,0),"")</f>
        <v/>
      </c>
    </row>
    <row r="282" spans="2:9" x14ac:dyDescent="0.3">
      <c r="B282" s="1"/>
      <c r="C282" s="1"/>
      <c r="D282" s="13" t="str">
        <f>IFERROR(VLOOKUP(C282,'BD Total'!$A$1:$H$506,3,0),"")</f>
        <v/>
      </c>
      <c r="E282" s="13"/>
      <c r="F282" s="14" t="str">
        <f>IFERROR(VLOOKUP(C282,'BD Total'!$A$1:$H$506,4,0),"")</f>
        <v/>
      </c>
      <c r="G282" s="54" t="str">
        <f t="shared" si="5"/>
        <v/>
      </c>
      <c r="H282" t="str">
        <f>IFERROR(VLOOKUP(C282,'BD Total'!$A$1:$G$506,6,0),"")</f>
        <v/>
      </c>
      <c r="I282" t="str">
        <f>IFERROR(VLOOKUP(C282,'BD Total'!$A$1:$G$506,7,0),"")</f>
        <v/>
      </c>
    </row>
    <row r="283" spans="2:9" x14ac:dyDescent="0.3">
      <c r="B283" s="1"/>
      <c r="C283" s="1"/>
      <c r="D283" s="13" t="str">
        <f>IFERROR(VLOOKUP(C283,'BD Total'!$A$1:$H$506,3,0),"")</f>
        <v/>
      </c>
      <c r="E283" s="13"/>
      <c r="F283" s="14" t="str">
        <f>IFERROR(VLOOKUP(C283,'BD Total'!$A$1:$H$506,4,0),"")</f>
        <v/>
      </c>
      <c r="G283" s="54" t="str">
        <f t="shared" si="5"/>
        <v/>
      </c>
      <c r="H283" t="str">
        <f>IFERROR(VLOOKUP(C283,'BD Total'!$A$1:$G$506,6,0),"")</f>
        <v/>
      </c>
      <c r="I283" t="str">
        <f>IFERROR(VLOOKUP(C283,'BD Total'!$A$1:$G$506,7,0),"")</f>
        <v/>
      </c>
    </row>
    <row r="284" spans="2:9" x14ac:dyDescent="0.3">
      <c r="B284" s="1"/>
      <c r="C284" s="1"/>
      <c r="D284" s="13" t="str">
        <f>IFERROR(VLOOKUP(C284,'BD Total'!$A$1:$H$506,3,0),"")</f>
        <v/>
      </c>
      <c r="E284" s="13"/>
      <c r="F284" s="14" t="str">
        <f>IFERROR(VLOOKUP(C284,'BD Total'!$A$1:$H$506,4,0),"")</f>
        <v/>
      </c>
      <c r="G284" s="54" t="str">
        <f t="shared" si="5"/>
        <v/>
      </c>
      <c r="H284" t="str">
        <f>IFERROR(VLOOKUP(C284,'BD Total'!$A$1:$G$506,6,0),"")</f>
        <v/>
      </c>
      <c r="I284" t="str">
        <f>IFERROR(VLOOKUP(C284,'BD Total'!$A$1:$G$506,7,0),"")</f>
        <v/>
      </c>
    </row>
    <row r="285" spans="2:9" x14ac:dyDescent="0.3">
      <c r="B285" s="1"/>
      <c r="C285" s="1"/>
      <c r="D285" s="13" t="str">
        <f>IFERROR(VLOOKUP(C285,'BD Total'!$A$1:$H$506,3,0),"")</f>
        <v/>
      </c>
      <c r="E285" s="13"/>
      <c r="F285" s="14" t="str">
        <f>IFERROR(VLOOKUP(C285,'BD Total'!$A$1:$H$506,4,0),"")</f>
        <v/>
      </c>
      <c r="G285" s="54" t="str">
        <f t="shared" si="5"/>
        <v/>
      </c>
      <c r="H285" t="str">
        <f>IFERROR(VLOOKUP(C285,'BD Total'!$A$1:$G$506,6,0),"")</f>
        <v/>
      </c>
      <c r="I285" t="str">
        <f>IFERROR(VLOOKUP(C285,'BD Total'!$A$1:$G$506,7,0),"")</f>
        <v/>
      </c>
    </row>
    <row r="286" spans="2:9" x14ac:dyDescent="0.3">
      <c r="B286" s="1"/>
      <c r="C286" s="1"/>
      <c r="D286" s="13" t="str">
        <f>IFERROR(VLOOKUP(C286,'BD Total'!$A$1:$H$506,3,0),"")</f>
        <v/>
      </c>
      <c r="E286" s="13"/>
      <c r="F286" s="14" t="str">
        <f>IFERROR(VLOOKUP(C286,'BD Total'!$A$1:$H$506,4,0),"")</f>
        <v/>
      </c>
      <c r="G286" s="54" t="str">
        <f t="shared" si="5"/>
        <v/>
      </c>
      <c r="H286" t="str">
        <f>IFERROR(VLOOKUP(C286,'BD Total'!$A$1:$G$506,6,0),"")</f>
        <v/>
      </c>
      <c r="I286" t="str">
        <f>IFERROR(VLOOKUP(C286,'BD Total'!$A$1:$G$506,7,0),"")</f>
        <v/>
      </c>
    </row>
    <row r="287" spans="2:9" x14ac:dyDescent="0.3">
      <c r="B287" s="1"/>
      <c r="C287" s="1"/>
      <c r="D287" s="13" t="str">
        <f>IFERROR(VLOOKUP(C287,'BD Total'!$A$1:$H$506,3,0),"")</f>
        <v/>
      </c>
      <c r="E287" s="13"/>
      <c r="F287" s="14" t="str">
        <f>IFERROR(VLOOKUP(C287,'BD Total'!$A$1:$H$506,4,0),"")</f>
        <v/>
      </c>
      <c r="G287" s="54" t="str">
        <f t="shared" si="5"/>
        <v/>
      </c>
      <c r="H287" t="str">
        <f>IFERROR(VLOOKUP(C287,'BD Total'!$A$1:$G$506,6,0),"")</f>
        <v/>
      </c>
      <c r="I287" t="str">
        <f>IFERROR(VLOOKUP(C287,'BD Total'!$A$1:$G$506,7,0),"")</f>
        <v/>
      </c>
    </row>
    <row r="288" spans="2:9" x14ac:dyDescent="0.3">
      <c r="B288" s="1"/>
      <c r="C288" s="1"/>
      <c r="D288" s="13" t="str">
        <f>IFERROR(VLOOKUP(C288,'BD Total'!$A$1:$H$506,3,0),"")</f>
        <v/>
      </c>
      <c r="E288" s="13"/>
      <c r="F288" s="14" t="str">
        <f>IFERROR(VLOOKUP(C288,'BD Total'!$A$1:$H$506,4,0),"")</f>
        <v/>
      </c>
      <c r="G288" s="54" t="str">
        <f t="shared" si="5"/>
        <v/>
      </c>
      <c r="H288" t="str">
        <f>IFERROR(VLOOKUP(C288,'BD Total'!$A$1:$G$506,6,0),"")</f>
        <v/>
      </c>
      <c r="I288" t="str">
        <f>IFERROR(VLOOKUP(C288,'BD Total'!$A$1:$G$506,7,0),"")</f>
        <v/>
      </c>
    </row>
    <row r="289" spans="2:9" x14ac:dyDescent="0.3">
      <c r="B289" s="1"/>
      <c r="C289" s="1"/>
      <c r="D289" s="13" t="str">
        <f>IFERROR(VLOOKUP(C289,'BD Total'!$A$1:$H$506,3,0),"")</f>
        <v/>
      </c>
      <c r="E289" s="13"/>
      <c r="F289" s="14" t="str">
        <f>IFERROR(VLOOKUP(C289,'BD Total'!$A$1:$H$506,4,0),"")</f>
        <v/>
      </c>
      <c r="G289" s="54" t="str">
        <f t="shared" si="5"/>
        <v/>
      </c>
      <c r="H289" t="str">
        <f>IFERROR(VLOOKUP(C289,'BD Total'!$A$1:$G$506,6,0),"")</f>
        <v/>
      </c>
      <c r="I289" t="str">
        <f>IFERROR(VLOOKUP(C289,'BD Total'!$A$1:$G$506,7,0),"")</f>
        <v/>
      </c>
    </row>
    <row r="290" spans="2:9" x14ac:dyDescent="0.3">
      <c r="B290" s="1"/>
      <c r="C290" s="1"/>
      <c r="D290" s="13" t="str">
        <f>IFERROR(VLOOKUP(C290,'BD Total'!$A$1:$H$506,3,0),"")</f>
        <v/>
      </c>
      <c r="E290" s="13"/>
      <c r="F290" s="14" t="str">
        <f>IFERROR(VLOOKUP(C290,'BD Total'!$A$1:$H$506,4,0),"")</f>
        <v/>
      </c>
      <c r="G290" s="54" t="str">
        <f t="shared" si="5"/>
        <v/>
      </c>
      <c r="H290" t="str">
        <f>IFERROR(VLOOKUP(C290,'BD Total'!$A$1:$G$506,6,0),"")</f>
        <v/>
      </c>
      <c r="I290" t="str">
        <f>IFERROR(VLOOKUP(C290,'BD Total'!$A$1:$G$506,7,0),"")</f>
        <v/>
      </c>
    </row>
    <row r="291" spans="2:9" x14ac:dyDescent="0.3">
      <c r="B291" s="1"/>
      <c r="C291" s="1"/>
      <c r="D291" s="13" t="str">
        <f>IFERROR(VLOOKUP(C291,'BD Total'!$A$1:$H$506,3,0),"")</f>
        <v/>
      </c>
      <c r="E291" s="13"/>
      <c r="F291" s="14" t="str">
        <f>IFERROR(VLOOKUP(C291,'BD Total'!$A$1:$H$506,4,0),"")</f>
        <v/>
      </c>
      <c r="G291" s="54" t="str">
        <f t="shared" si="5"/>
        <v/>
      </c>
      <c r="H291" t="str">
        <f>IFERROR(VLOOKUP(C291,'BD Total'!$A$1:$G$506,6,0),"")</f>
        <v/>
      </c>
      <c r="I291" t="str">
        <f>IFERROR(VLOOKUP(C291,'BD Total'!$A$1:$G$506,7,0),"")</f>
        <v/>
      </c>
    </row>
    <row r="292" spans="2:9" x14ac:dyDescent="0.3">
      <c r="B292" s="1"/>
      <c r="C292" s="1"/>
      <c r="D292" s="13" t="str">
        <f>IFERROR(VLOOKUP(C292,'BD Total'!$A$1:$H$506,3,0),"")</f>
        <v/>
      </c>
      <c r="E292" s="13"/>
      <c r="F292" s="14" t="str">
        <f>IFERROR(VLOOKUP(C292,'BD Total'!$A$1:$H$506,4,0),"")</f>
        <v/>
      </c>
      <c r="G292" s="54" t="str">
        <f t="shared" si="5"/>
        <v/>
      </c>
      <c r="H292" t="str">
        <f>IFERROR(VLOOKUP(C292,'BD Total'!$A$1:$G$506,6,0),"")</f>
        <v/>
      </c>
      <c r="I292" t="str">
        <f>IFERROR(VLOOKUP(C292,'BD Total'!$A$1:$G$506,7,0),"")</f>
        <v/>
      </c>
    </row>
    <row r="293" spans="2:9" x14ac:dyDescent="0.3">
      <c r="B293" s="1"/>
      <c r="C293" s="1"/>
      <c r="D293" s="13" t="str">
        <f>IFERROR(VLOOKUP(C293,'BD Total'!$A$1:$H$506,3,0),"")</f>
        <v/>
      </c>
      <c r="E293" s="13"/>
      <c r="F293" s="14" t="str">
        <f>IFERROR(VLOOKUP(C293,'BD Total'!$A$1:$H$506,4,0),"")</f>
        <v/>
      </c>
      <c r="G293" s="54" t="str">
        <f t="shared" si="5"/>
        <v/>
      </c>
      <c r="H293" t="str">
        <f>IFERROR(VLOOKUP(C293,'BD Total'!$A$1:$G$506,6,0),"")</f>
        <v/>
      </c>
      <c r="I293" t="str">
        <f>IFERROR(VLOOKUP(C293,'BD Total'!$A$1:$G$506,7,0),"")</f>
        <v/>
      </c>
    </row>
    <row r="294" spans="2:9" x14ac:dyDescent="0.3">
      <c r="B294" s="1"/>
      <c r="C294" s="1"/>
      <c r="D294" s="13" t="str">
        <f>IFERROR(VLOOKUP(C294,'BD Total'!$A$1:$H$506,3,0),"")</f>
        <v/>
      </c>
      <c r="E294" s="13"/>
      <c r="F294" s="14" t="str">
        <f>IFERROR(VLOOKUP(C294,'BD Total'!$A$1:$H$506,4,0),"")</f>
        <v/>
      </c>
      <c r="G294" s="54" t="str">
        <f t="shared" si="5"/>
        <v/>
      </c>
      <c r="H294" t="str">
        <f>IFERROR(VLOOKUP(C294,'BD Total'!$A$1:$G$506,6,0),"")</f>
        <v/>
      </c>
      <c r="I294" t="str">
        <f>IFERROR(VLOOKUP(C294,'BD Total'!$A$1:$G$506,7,0),"")</f>
        <v/>
      </c>
    </row>
    <row r="295" spans="2:9" x14ac:dyDescent="0.3">
      <c r="B295" s="1"/>
      <c r="C295" s="1"/>
      <c r="D295" s="13" t="str">
        <f>IFERROR(VLOOKUP(C295,'BD Total'!$A$1:$H$506,3,0),"")</f>
        <v/>
      </c>
      <c r="E295" s="13"/>
      <c r="F295" s="14" t="str">
        <f>IFERROR(VLOOKUP(C295,'BD Total'!$A$1:$H$506,4,0),"")</f>
        <v/>
      </c>
      <c r="G295" s="54" t="str">
        <f t="shared" si="5"/>
        <v/>
      </c>
      <c r="H295" t="str">
        <f>IFERROR(VLOOKUP(C295,'BD Total'!$A$1:$G$506,6,0),"")</f>
        <v/>
      </c>
      <c r="I295" t="str">
        <f>IFERROR(VLOOKUP(C295,'BD Total'!$A$1:$G$506,7,0),"")</f>
        <v/>
      </c>
    </row>
    <row r="296" spans="2:9" x14ac:dyDescent="0.3">
      <c r="B296" s="1"/>
      <c r="C296" s="1"/>
      <c r="D296" s="13" t="str">
        <f>IFERROR(VLOOKUP(C296,'BD Total'!$A$1:$H$506,3,0),"")</f>
        <v/>
      </c>
      <c r="E296" s="13"/>
      <c r="F296" s="14" t="str">
        <f>IFERROR(VLOOKUP(C296,'BD Total'!$A$1:$H$506,4,0),"")</f>
        <v/>
      </c>
      <c r="G296" s="54" t="str">
        <f t="shared" si="5"/>
        <v/>
      </c>
      <c r="H296" t="str">
        <f>IFERROR(VLOOKUP(C296,'BD Total'!$A$1:$G$506,6,0),"")</f>
        <v/>
      </c>
      <c r="I296" t="str">
        <f>IFERROR(VLOOKUP(C296,'BD Total'!$A$1:$G$506,7,0),"")</f>
        <v/>
      </c>
    </row>
    <row r="297" spans="2:9" x14ac:dyDescent="0.3">
      <c r="B297" s="1"/>
      <c r="C297" s="1"/>
      <c r="D297" s="13" t="str">
        <f>IFERROR(VLOOKUP(C297,'BD Total'!$A$1:$H$506,3,0),"")</f>
        <v/>
      </c>
      <c r="E297" s="13"/>
      <c r="F297" s="14" t="str">
        <f>IFERROR(VLOOKUP(C297,'BD Total'!$A$1:$H$506,4,0),"")</f>
        <v/>
      </c>
      <c r="G297" s="54" t="str">
        <f t="shared" si="5"/>
        <v/>
      </c>
      <c r="H297" t="str">
        <f>IFERROR(VLOOKUP(C297,'BD Total'!$A$1:$G$506,6,0),"")</f>
        <v/>
      </c>
      <c r="I297" t="str">
        <f>IFERROR(VLOOKUP(C297,'BD Total'!$A$1:$G$506,7,0),"")</f>
        <v/>
      </c>
    </row>
    <row r="298" spans="2:9" x14ac:dyDescent="0.3">
      <c r="B298" s="1"/>
      <c r="C298" s="1"/>
      <c r="D298" s="13" t="str">
        <f>IFERROR(VLOOKUP(C298,'BD Total'!$A$1:$H$506,3,0),"")</f>
        <v/>
      </c>
      <c r="E298" s="13"/>
      <c r="F298" s="14" t="str">
        <f>IFERROR(VLOOKUP(C298,'BD Total'!$A$1:$H$506,4,0),"")</f>
        <v/>
      </c>
      <c r="G298" s="54" t="str">
        <f t="shared" si="5"/>
        <v/>
      </c>
      <c r="H298" t="str">
        <f>IFERROR(VLOOKUP(C298,'BD Total'!$A$1:$G$506,6,0),"")</f>
        <v/>
      </c>
      <c r="I298" t="str">
        <f>IFERROR(VLOOKUP(C298,'BD Total'!$A$1:$G$506,7,0),"")</f>
        <v/>
      </c>
    </row>
  </sheetData>
  <sheetProtection algorithmName="SHA-512" hashValue="WcaWnT7yTtCMnkFz77Y6FPEBDWg9QPwm1538sP5VLD9QpWOGubdUpljVL99VuphmvTKACIS2LxU9KUV1cG6law==" saltValue="f/iiKnunEYD7SzsN7TcoyQ==" spinCount="100000" sheet="1" objects="1" scenarios="1"/>
  <protectedRanges>
    <protectedRange sqref="J1:J1048576" name="libre"/>
    <protectedRange sqref="B14:C298" name="Rango1 tabla"/>
    <protectedRange sqref="E14:E313" name="Rango2 cantidad"/>
    <protectedRange sqref="C6" name="Rango3 buscador"/>
  </protectedRanges>
  <sortState xmlns:xlrd2="http://schemas.microsoft.com/office/spreadsheetml/2017/richdata2" ref="B14:I203">
    <sortCondition ref="B13:B203"/>
  </sortState>
  <mergeCells count="6">
    <mergeCell ref="E6:F6"/>
    <mergeCell ref="E7:F7"/>
    <mergeCell ref="E8:F8"/>
    <mergeCell ref="E2:G2"/>
    <mergeCell ref="E4:F4"/>
    <mergeCell ref="E5:F5"/>
  </mergeCells>
  <conditionalFormatting sqref="L4:L5">
    <cfRule type="containsText" dxfId="1" priority="1" operator="containsText" text="listo">
      <formula>NOT(ISERROR(SEARCH("listo",L4)))</formula>
    </cfRule>
    <cfRule type="containsText" dxfId="0" priority="2" operator="containsText" text="Faltan Valores">
      <formula>NOT(ISERROR(SEARCH("Faltan Valores",L4)))</formula>
    </cfRule>
  </conditionalFormatting>
  <dataValidations count="1">
    <dataValidation type="list" allowBlank="1" showInputMessage="1" showErrorMessage="1" sqref="C14:C298" xr:uid="{BE9F31FB-3AC2-4E5A-A896-2088E20B4C90}">
      <formula1>INDIRECT(B14)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3A9037-9315-4F02-BB37-15D96A676192}">
          <x14:formula1>
            <xm:f>Desplegables!$A$2:$A$25</xm:f>
          </x14:formula1>
          <xm:sqref>B14:B298</xm:sqref>
        </x14:dataValidation>
        <x14:dataValidation type="list" allowBlank="1" showInputMessage="1" showErrorMessage="1" xr:uid="{EEEBF9A5-5087-46D2-9B5E-B1FFD5461B78}">
          <x14:formula1>
            <xm:f>'BD Total'!$A$2:$A$506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0B7A-65DB-44BE-AC6E-3730239C5309}">
  <dimension ref="B3:K42"/>
  <sheetViews>
    <sheetView showGridLines="0" workbookViewId="0">
      <selection activeCell="G16" sqref="G16"/>
    </sheetView>
  </sheetViews>
  <sheetFormatPr baseColWidth="10" defaultColWidth="11.44140625" defaultRowHeight="14.4" x14ac:dyDescent="0.3"/>
  <cols>
    <col min="1" max="1" width="10.33203125" customWidth="1"/>
    <col min="2" max="2" width="19.44140625" bestFit="1" customWidth="1"/>
    <col min="3" max="3" width="15.88671875" customWidth="1"/>
    <col min="4" max="4" width="7.33203125" bestFit="1" customWidth="1"/>
    <col min="5" max="5" width="11.5546875" customWidth="1"/>
    <col min="6" max="6" width="17.44140625" bestFit="1" customWidth="1"/>
    <col min="7" max="7" width="15.109375" customWidth="1"/>
    <col min="8" max="8" width="5.109375" bestFit="1" customWidth="1"/>
    <col min="10" max="10" width="15" bestFit="1" customWidth="1"/>
    <col min="11" max="11" width="17" customWidth="1"/>
  </cols>
  <sheetData>
    <row r="3" spans="2:11" ht="15.6" x14ac:dyDescent="0.3">
      <c r="B3" s="53"/>
    </row>
    <row r="5" spans="2:11" ht="15" thickBot="1" x14ac:dyDescent="0.35">
      <c r="B5" s="48" t="s">
        <v>837</v>
      </c>
      <c r="F5" s="48" t="s">
        <v>838</v>
      </c>
      <c r="J5" s="48" t="s">
        <v>839</v>
      </c>
    </row>
    <row r="6" spans="2:11" ht="15" thickTop="1" x14ac:dyDescent="0.3"/>
    <row r="7" spans="2:11" x14ac:dyDescent="0.3">
      <c r="B7" s="147" t="s">
        <v>829</v>
      </c>
      <c r="C7" s="29">
        <f>'1 - Cotizador Personalizado'!G4</f>
        <v>39331405.865546219</v>
      </c>
      <c r="F7" s="38" t="str">
        <f>B9</f>
        <v>Costo + Margen</v>
      </c>
      <c r="G7" s="47">
        <f>C9</f>
        <v>51917455.74252101</v>
      </c>
      <c r="J7" s="26" t="str">
        <f>B8</f>
        <v>Margen</v>
      </c>
      <c r="K7" s="43">
        <f>C8</f>
        <v>12586049.876974791</v>
      </c>
    </row>
    <row r="8" spans="2:11" x14ac:dyDescent="0.3">
      <c r="B8" s="30" t="s">
        <v>840</v>
      </c>
      <c r="C8" s="31">
        <f>C7*D8</f>
        <v>12586049.876974791</v>
      </c>
      <c r="D8" s="32">
        <v>0.32</v>
      </c>
      <c r="F8" s="25" t="s">
        <v>841</v>
      </c>
      <c r="G8" s="43">
        <f>G7*2.5%</f>
        <v>1297936.3935630254</v>
      </c>
      <c r="H8" s="51">
        <f>G8/G7</f>
        <v>2.5000000000000001E-2</v>
      </c>
      <c r="J8" s="24" t="str">
        <f>F10</f>
        <v>Total Comisiones</v>
      </c>
      <c r="K8" s="45">
        <f>G10</f>
        <v>1713276.0395031935</v>
      </c>
    </row>
    <row r="9" spans="2:11" ht="15" thickBot="1" x14ac:dyDescent="0.35">
      <c r="B9" s="25" t="s">
        <v>842</v>
      </c>
      <c r="C9" s="29">
        <f>C7+C8</f>
        <v>51917455.74252101</v>
      </c>
      <c r="F9" s="24" t="s">
        <v>843</v>
      </c>
      <c r="G9" s="45">
        <f>G7*0.8%</f>
        <v>415339.64594016812</v>
      </c>
      <c r="H9" s="52">
        <f>G9/G7</f>
        <v>8.0000000000000002E-3</v>
      </c>
      <c r="J9" s="49" t="s">
        <v>844</v>
      </c>
      <c r="K9" s="50">
        <f>K7-K8</f>
        <v>10872773.837471597</v>
      </c>
    </row>
    <row r="10" spans="2:11" ht="15.6" thickTop="1" thickBot="1" x14ac:dyDescent="0.35">
      <c r="B10" s="23" t="s">
        <v>833</v>
      </c>
      <c r="C10" s="22">
        <f>C9*19%</f>
        <v>9864316.5910789929</v>
      </c>
      <c r="F10" s="58" t="s">
        <v>845</v>
      </c>
      <c r="G10" s="59">
        <f>SUM(G8:G9)</f>
        <v>1713276.0395031935</v>
      </c>
    </row>
    <row r="11" spans="2:11" ht="15.6" thickTop="1" thickBot="1" x14ac:dyDescent="0.35">
      <c r="B11" s="58" t="s">
        <v>822</v>
      </c>
      <c r="C11" s="59">
        <f>C10+C9</f>
        <v>61781772.3336</v>
      </c>
    </row>
    <row r="12" spans="2:11" ht="15" thickTop="1" x14ac:dyDescent="0.3"/>
    <row r="39" spans="3:3" x14ac:dyDescent="0.3">
      <c r="C39" s="36"/>
    </row>
    <row r="40" spans="3:3" x14ac:dyDescent="0.3">
      <c r="C40" s="36"/>
    </row>
    <row r="42" spans="3:3" x14ac:dyDescent="0.3">
      <c r="C42" s="36"/>
    </row>
  </sheetData>
  <sheetProtection algorithmName="SHA-512" hashValue="KD/hDpIYvYXBRoDXSQhNA8rfxZ+qKDTF/Na/yN9BTQWu1uKjtup1btg6nOWH4IkQOfklRO2IaUo6XswE/1NS9Q==" saltValue="1h8asqGVqDOnAjd01uXFuA==" spinCount="100000" sheet="1" objects="1" scenarios="1"/>
  <protectedRanges>
    <protectedRange sqref="D8" name="Rango1"/>
  </protectedRange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8747-89E8-454A-BF6A-7A94542E5AEB}">
  <dimension ref="A1:E126"/>
  <sheetViews>
    <sheetView showGridLines="0" workbookViewId="0">
      <selection activeCell="H12" sqref="H12"/>
    </sheetView>
  </sheetViews>
  <sheetFormatPr baseColWidth="10" defaultColWidth="11.44140625" defaultRowHeight="14.4" x14ac:dyDescent="0.3"/>
  <cols>
    <col min="1" max="1" width="15.109375" customWidth="1"/>
    <col min="2" max="2" width="72.6640625" customWidth="1"/>
    <col min="3" max="3" width="13.88671875" customWidth="1"/>
    <col min="4" max="4" width="12.88671875" customWidth="1"/>
    <col min="5" max="5" width="8.109375" customWidth="1"/>
  </cols>
  <sheetData>
    <row r="1" spans="1:4" ht="15" thickBot="1" x14ac:dyDescent="0.35">
      <c r="A1" s="16"/>
      <c r="C1" s="41" t="s">
        <v>821</v>
      </c>
      <c r="D1" s="42"/>
    </row>
    <row r="2" spans="1:4" ht="15" thickTop="1" x14ac:dyDescent="0.3">
      <c r="A2" s="16"/>
      <c r="C2" s="18"/>
      <c r="D2" s="15"/>
    </row>
    <row r="3" spans="1:4" x14ac:dyDescent="0.3">
      <c r="A3" s="16"/>
      <c r="C3" s="25" t="s">
        <v>846</v>
      </c>
      <c r="D3" s="29">
        <f>'2 - Margenes Proyecto'!C9</f>
        <v>51917455.74252101</v>
      </c>
    </row>
    <row r="4" spans="1:4" x14ac:dyDescent="0.3">
      <c r="A4" s="16"/>
      <c r="C4" s="24" t="s">
        <v>833</v>
      </c>
      <c r="D4" s="65">
        <f>'2 - Margenes Proyecto'!C10</f>
        <v>9864316.5910789929</v>
      </c>
    </row>
    <row r="5" spans="1:4" x14ac:dyDescent="0.3">
      <c r="A5" s="16"/>
      <c r="C5" s="133" t="s">
        <v>822</v>
      </c>
      <c r="D5" s="134">
        <f>'2 - Margenes Proyecto'!C11</f>
        <v>61781772.3336</v>
      </c>
    </row>
    <row r="6" spans="1:4" x14ac:dyDescent="0.3">
      <c r="A6" s="16"/>
      <c r="C6" s="18"/>
      <c r="D6" s="18"/>
    </row>
    <row r="7" spans="1:4" ht="19.95" customHeight="1" x14ac:dyDescent="0.3">
      <c r="A7" s="91" t="s">
        <v>847</v>
      </c>
      <c r="B7" s="83"/>
    </row>
    <row r="8" spans="1:4" x14ac:dyDescent="0.3">
      <c r="A8" s="92" t="s">
        <v>848</v>
      </c>
      <c r="B8" s="83"/>
      <c r="C8" s="18"/>
      <c r="D8" s="18"/>
    </row>
    <row r="9" spans="1:4" x14ac:dyDescent="0.3">
      <c r="A9" s="92" t="s">
        <v>849</v>
      </c>
      <c r="B9" s="93"/>
      <c r="C9" s="18"/>
      <c r="D9" s="18"/>
    </row>
    <row r="10" spans="1:4" x14ac:dyDescent="0.3">
      <c r="A10" s="172" t="s">
        <v>850</v>
      </c>
      <c r="B10" s="172"/>
      <c r="C10" s="18"/>
      <c r="D10" s="18"/>
    </row>
    <row r="11" spans="1:4" x14ac:dyDescent="0.3">
      <c r="A11" s="16"/>
      <c r="C11" s="18"/>
      <c r="D11" s="18"/>
    </row>
    <row r="12" spans="1:4" ht="15.6" x14ac:dyDescent="0.3">
      <c r="A12" s="123" t="s">
        <v>1</v>
      </c>
      <c r="B12" s="121" t="s">
        <v>0</v>
      </c>
      <c r="C12" s="121" t="s">
        <v>2</v>
      </c>
      <c r="D12" s="122" t="s">
        <v>776</v>
      </c>
    </row>
    <row r="13" spans="1:4" hidden="1" x14ac:dyDescent="0.3">
      <c r="A13" s="40" t="s">
        <v>851</v>
      </c>
      <c r="D13" s="18"/>
    </row>
    <row r="14" spans="1:4" hidden="1" x14ac:dyDescent="0.3">
      <c r="D14" s="13" t="s">
        <v>852</v>
      </c>
    </row>
    <row r="15" spans="1:4" x14ac:dyDescent="0.3">
      <c r="A15" s="62" t="s">
        <v>9</v>
      </c>
      <c r="B15" s="55" t="s">
        <v>25</v>
      </c>
      <c r="C15" s="60" t="s">
        <v>2</v>
      </c>
      <c r="D15" s="140">
        <v>3</v>
      </c>
    </row>
    <row r="16" spans="1:4" x14ac:dyDescent="0.3">
      <c r="A16" s="63"/>
      <c r="B16" s="56" t="s">
        <v>29</v>
      </c>
      <c r="C16" s="61" t="s">
        <v>2</v>
      </c>
      <c r="D16" s="141">
        <v>1</v>
      </c>
    </row>
    <row r="17" spans="1:4" x14ac:dyDescent="0.3">
      <c r="A17" s="63"/>
      <c r="B17" s="56" t="s">
        <v>34</v>
      </c>
      <c r="C17" s="61" t="s">
        <v>2</v>
      </c>
      <c r="D17" s="141">
        <v>1</v>
      </c>
    </row>
    <row r="18" spans="1:4" x14ac:dyDescent="0.3">
      <c r="A18" s="63"/>
      <c r="B18" s="56" t="s">
        <v>56</v>
      </c>
      <c r="C18" s="61" t="s">
        <v>2</v>
      </c>
      <c r="D18" s="141">
        <v>1</v>
      </c>
    </row>
    <row r="19" spans="1:4" x14ac:dyDescent="0.3">
      <c r="A19" s="63" t="s">
        <v>59</v>
      </c>
      <c r="B19" s="56" t="s">
        <v>62</v>
      </c>
      <c r="C19" s="61" t="s">
        <v>43</v>
      </c>
      <c r="D19" s="141">
        <v>190</v>
      </c>
    </row>
    <row r="20" spans="1:4" x14ac:dyDescent="0.3">
      <c r="A20" s="63" t="s">
        <v>78</v>
      </c>
      <c r="B20" s="56" t="s">
        <v>77</v>
      </c>
      <c r="C20" s="61" t="s">
        <v>2</v>
      </c>
      <c r="D20" s="141">
        <v>6</v>
      </c>
    </row>
    <row r="21" spans="1:4" x14ac:dyDescent="0.3">
      <c r="A21" s="63"/>
      <c r="B21" s="56" t="s">
        <v>82</v>
      </c>
      <c r="C21" s="61" t="s">
        <v>2</v>
      </c>
      <c r="D21" s="141">
        <v>3</v>
      </c>
    </row>
    <row r="22" spans="1:4" x14ac:dyDescent="0.3">
      <c r="A22" s="63"/>
      <c r="B22" s="56" t="s">
        <v>430</v>
      </c>
      <c r="C22" s="61" t="s">
        <v>2</v>
      </c>
      <c r="D22" s="141">
        <v>3</v>
      </c>
    </row>
    <row r="23" spans="1:4" x14ac:dyDescent="0.3">
      <c r="A23" s="63"/>
      <c r="B23" s="56" t="s">
        <v>432</v>
      </c>
      <c r="C23" s="61" t="s">
        <v>2</v>
      </c>
      <c r="D23" s="141">
        <v>3</v>
      </c>
    </row>
    <row r="24" spans="1:4" x14ac:dyDescent="0.3">
      <c r="A24" s="63"/>
      <c r="B24" s="56" t="s">
        <v>88</v>
      </c>
      <c r="C24" s="61" t="s">
        <v>2</v>
      </c>
      <c r="D24" s="141">
        <v>3</v>
      </c>
    </row>
    <row r="25" spans="1:4" x14ac:dyDescent="0.3">
      <c r="A25" s="63"/>
      <c r="B25" s="56" t="s">
        <v>436</v>
      </c>
      <c r="C25" s="61" t="s">
        <v>2</v>
      </c>
      <c r="D25" s="141">
        <v>3</v>
      </c>
    </row>
    <row r="26" spans="1:4" x14ac:dyDescent="0.3">
      <c r="A26" s="63"/>
      <c r="B26" s="56" t="s">
        <v>97</v>
      </c>
      <c r="C26" s="61" t="s">
        <v>2</v>
      </c>
      <c r="D26" s="141">
        <v>3</v>
      </c>
    </row>
    <row r="27" spans="1:4" x14ac:dyDescent="0.3">
      <c r="A27" s="63"/>
      <c r="B27" s="56" t="s">
        <v>101</v>
      </c>
      <c r="C27" s="61" t="s">
        <v>2</v>
      </c>
      <c r="D27" s="141">
        <v>3</v>
      </c>
    </row>
    <row r="28" spans="1:4" x14ac:dyDescent="0.3">
      <c r="A28" s="63"/>
      <c r="B28" s="56" t="s">
        <v>111</v>
      </c>
      <c r="C28" s="61" t="s">
        <v>43</v>
      </c>
      <c r="D28" s="141">
        <v>27</v>
      </c>
    </row>
    <row r="29" spans="1:4" x14ac:dyDescent="0.3">
      <c r="A29" s="63"/>
      <c r="B29" s="56" t="s">
        <v>114</v>
      </c>
      <c r="C29" s="61" t="s">
        <v>2</v>
      </c>
      <c r="D29" s="141">
        <v>3</v>
      </c>
    </row>
    <row r="30" spans="1:4" x14ac:dyDescent="0.3">
      <c r="A30" s="63"/>
      <c r="B30" s="56" t="s">
        <v>119</v>
      </c>
      <c r="C30" s="61" t="s">
        <v>2</v>
      </c>
      <c r="D30" s="141">
        <v>3</v>
      </c>
    </row>
    <row r="31" spans="1:4" x14ac:dyDescent="0.3">
      <c r="A31" s="63"/>
      <c r="B31" s="56" t="s">
        <v>347</v>
      </c>
      <c r="C31" s="61" t="s">
        <v>2</v>
      </c>
      <c r="D31" s="141">
        <v>8</v>
      </c>
    </row>
    <row r="32" spans="1:4" x14ac:dyDescent="0.3">
      <c r="A32" s="63"/>
      <c r="B32" s="56" t="s">
        <v>551</v>
      </c>
      <c r="C32" s="61" t="s">
        <v>2</v>
      </c>
      <c r="D32" s="141">
        <v>21</v>
      </c>
    </row>
    <row r="33" spans="1:4" x14ac:dyDescent="0.3">
      <c r="A33" s="63"/>
      <c r="B33" s="56" t="s">
        <v>128</v>
      </c>
      <c r="C33" s="61" t="s">
        <v>2</v>
      </c>
      <c r="D33" s="141">
        <v>3</v>
      </c>
    </row>
    <row r="34" spans="1:4" x14ac:dyDescent="0.3">
      <c r="A34" s="63" t="s">
        <v>133</v>
      </c>
      <c r="B34" s="56" t="s">
        <v>156</v>
      </c>
      <c r="C34" s="61" t="s">
        <v>2</v>
      </c>
      <c r="D34" s="141">
        <v>1</v>
      </c>
    </row>
    <row r="35" spans="1:4" x14ac:dyDescent="0.3">
      <c r="A35" s="63"/>
      <c r="B35" s="56" t="s">
        <v>160</v>
      </c>
      <c r="C35" s="61" t="s">
        <v>2</v>
      </c>
      <c r="D35" s="141">
        <v>1</v>
      </c>
    </row>
    <row r="36" spans="1:4" x14ac:dyDescent="0.3">
      <c r="A36" s="63"/>
      <c r="B36" s="56" t="s">
        <v>174</v>
      </c>
      <c r="C36" s="61" t="s">
        <v>2</v>
      </c>
      <c r="D36" s="141">
        <v>1</v>
      </c>
    </row>
    <row r="37" spans="1:4" x14ac:dyDescent="0.3">
      <c r="A37" s="63" t="s">
        <v>188</v>
      </c>
      <c r="B37" s="56" t="s">
        <v>190</v>
      </c>
      <c r="C37" s="61" t="s">
        <v>2</v>
      </c>
      <c r="D37" s="141">
        <v>3</v>
      </c>
    </row>
    <row r="38" spans="1:4" x14ac:dyDescent="0.3">
      <c r="A38" s="63" t="s">
        <v>199</v>
      </c>
      <c r="B38" s="56" t="s">
        <v>198</v>
      </c>
      <c r="C38" s="61" t="s">
        <v>2</v>
      </c>
      <c r="D38" s="141">
        <v>250</v>
      </c>
    </row>
    <row r="39" spans="1:4" x14ac:dyDescent="0.3">
      <c r="A39" s="63"/>
      <c r="B39" s="56" t="s">
        <v>202</v>
      </c>
      <c r="C39" s="61" t="s">
        <v>2</v>
      </c>
      <c r="D39" s="141">
        <v>1</v>
      </c>
    </row>
    <row r="40" spans="1:4" x14ac:dyDescent="0.3">
      <c r="A40" s="63"/>
      <c r="B40" s="56" t="s">
        <v>203</v>
      </c>
      <c r="C40" s="61" t="s">
        <v>2</v>
      </c>
      <c r="D40" s="141">
        <v>3</v>
      </c>
    </row>
    <row r="41" spans="1:4" x14ac:dyDescent="0.3">
      <c r="A41" s="63"/>
      <c r="B41" s="56" t="s">
        <v>204</v>
      </c>
      <c r="C41" s="61" t="s">
        <v>2</v>
      </c>
      <c r="D41" s="141">
        <v>1</v>
      </c>
    </row>
    <row r="42" spans="1:4" x14ac:dyDescent="0.3">
      <c r="A42" s="63"/>
      <c r="B42" s="56" t="s">
        <v>205</v>
      </c>
      <c r="C42" s="61" t="s">
        <v>2</v>
      </c>
      <c r="D42" s="141">
        <v>1</v>
      </c>
    </row>
    <row r="43" spans="1:4" x14ac:dyDescent="0.3">
      <c r="A43" s="63"/>
      <c r="B43" s="56" t="s">
        <v>209</v>
      </c>
      <c r="C43" s="61" t="s">
        <v>2</v>
      </c>
      <c r="D43" s="141">
        <v>9</v>
      </c>
    </row>
    <row r="44" spans="1:4" x14ac:dyDescent="0.3">
      <c r="A44" s="63"/>
      <c r="B44" s="56" t="s">
        <v>211</v>
      </c>
      <c r="C44" s="61" t="s">
        <v>2</v>
      </c>
      <c r="D44" s="141">
        <v>9</v>
      </c>
    </row>
    <row r="45" spans="1:4" x14ac:dyDescent="0.3">
      <c r="A45" s="63"/>
      <c r="B45" s="56" t="s">
        <v>215</v>
      </c>
      <c r="C45" s="61" t="s">
        <v>2</v>
      </c>
      <c r="D45" s="141">
        <v>80</v>
      </c>
    </row>
    <row r="46" spans="1:4" x14ac:dyDescent="0.3">
      <c r="A46" s="63"/>
      <c r="B46" s="56" t="s">
        <v>216</v>
      </c>
      <c r="C46" s="61" t="s">
        <v>2</v>
      </c>
      <c r="D46" s="141">
        <v>2</v>
      </c>
    </row>
    <row r="47" spans="1:4" x14ac:dyDescent="0.3">
      <c r="A47" s="63"/>
      <c r="B47" s="56" t="s">
        <v>418</v>
      </c>
      <c r="C47" s="61" t="s">
        <v>2</v>
      </c>
      <c r="D47" s="141">
        <v>30</v>
      </c>
    </row>
    <row r="48" spans="1:4" x14ac:dyDescent="0.3">
      <c r="A48" s="63"/>
      <c r="B48" s="56" t="s">
        <v>222</v>
      </c>
      <c r="C48" s="61" t="s">
        <v>220</v>
      </c>
      <c r="D48" s="141">
        <v>240</v>
      </c>
    </row>
    <row r="49" spans="1:4" x14ac:dyDescent="0.3">
      <c r="A49" s="63"/>
      <c r="B49" s="56" t="s">
        <v>223</v>
      </c>
      <c r="C49" s="61" t="s">
        <v>2</v>
      </c>
      <c r="D49" s="141">
        <v>4</v>
      </c>
    </row>
    <row r="50" spans="1:4" x14ac:dyDescent="0.3">
      <c r="A50" s="63"/>
      <c r="B50" s="56" t="s">
        <v>224</v>
      </c>
      <c r="C50" s="61" t="s">
        <v>2</v>
      </c>
      <c r="D50" s="141">
        <v>3</v>
      </c>
    </row>
    <row r="51" spans="1:4" x14ac:dyDescent="0.3">
      <c r="A51" s="63"/>
      <c r="B51" s="56" t="s">
        <v>226</v>
      </c>
      <c r="C51" s="61" t="s">
        <v>2</v>
      </c>
      <c r="D51" s="141">
        <v>26</v>
      </c>
    </row>
    <row r="52" spans="1:4" x14ac:dyDescent="0.3">
      <c r="A52" s="63"/>
      <c r="B52" s="56" t="s">
        <v>227</v>
      </c>
      <c r="C52" s="61" t="s">
        <v>2</v>
      </c>
      <c r="D52" s="141">
        <v>2</v>
      </c>
    </row>
    <row r="53" spans="1:4" x14ac:dyDescent="0.3">
      <c r="A53" s="63"/>
      <c r="B53" s="56" t="s">
        <v>230</v>
      </c>
      <c r="C53" s="61" t="s">
        <v>2</v>
      </c>
      <c r="D53" s="141">
        <v>1</v>
      </c>
    </row>
    <row r="54" spans="1:4" x14ac:dyDescent="0.3">
      <c r="A54" s="63"/>
      <c r="B54" s="56" t="s">
        <v>279</v>
      </c>
      <c r="C54" s="61" t="s">
        <v>2</v>
      </c>
      <c r="D54" s="141">
        <v>12</v>
      </c>
    </row>
    <row r="55" spans="1:4" x14ac:dyDescent="0.3">
      <c r="A55" s="63"/>
      <c r="B55" s="56" t="s">
        <v>283</v>
      </c>
      <c r="C55" s="61" t="s">
        <v>2</v>
      </c>
      <c r="D55" s="141">
        <v>19</v>
      </c>
    </row>
    <row r="56" spans="1:4" x14ac:dyDescent="0.3">
      <c r="A56" s="63"/>
      <c r="B56" s="56" t="s">
        <v>231</v>
      </c>
      <c r="C56" s="61" t="s">
        <v>2</v>
      </c>
      <c r="D56" s="141">
        <v>2</v>
      </c>
    </row>
    <row r="57" spans="1:4" x14ac:dyDescent="0.3">
      <c r="A57" s="63"/>
      <c r="B57" s="56" t="s">
        <v>234</v>
      </c>
      <c r="C57" s="61" t="s">
        <v>2</v>
      </c>
      <c r="D57" s="141">
        <v>8</v>
      </c>
    </row>
    <row r="58" spans="1:4" x14ac:dyDescent="0.3">
      <c r="A58" s="63"/>
      <c r="B58" s="56" t="s">
        <v>235</v>
      </c>
      <c r="C58" s="61" t="s">
        <v>2</v>
      </c>
      <c r="D58" s="141">
        <v>2</v>
      </c>
    </row>
    <row r="59" spans="1:4" x14ac:dyDescent="0.3">
      <c r="A59" s="63"/>
      <c r="B59" s="56" t="s">
        <v>289</v>
      </c>
      <c r="C59" s="61" t="s">
        <v>2</v>
      </c>
      <c r="D59" s="141">
        <v>1</v>
      </c>
    </row>
    <row r="60" spans="1:4" x14ac:dyDescent="0.3">
      <c r="A60" s="63"/>
      <c r="B60" s="56" t="s">
        <v>236</v>
      </c>
      <c r="C60" s="61" t="s">
        <v>2</v>
      </c>
      <c r="D60" s="141">
        <v>1</v>
      </c>
    </row>
    <row r="61" spans="1:4" x14ac:dyDescent="0.3">
      <c r="A61" s="63"/>
      <c r="B61" s="56" t="s">
        <v>239</v>
      </c>
      <c r="C61" s="61" t="s">
        <v>2</v>
      </c>
      <c r="D61" s="141">
        <v>1</v>
      </c>
    </row>
    <row r="62" spans="1:4" x14ac:dyDescent="0.3">
      <c r="A62" s="63"/>
      <c r="B62" s="56" t="s">
        <v>241</v>
      </c>
      <c r="C62" s="61" t="s">
        <v>2</v>
      </c>
      <c r="D62" s="141">
        <v>7</v>
      </c>
    </row>
    <row r="63" spans="1:4" x14ac:dyDescent="0.3">
      <c r="A63" s="63"/>
      <c r="B63" s="56" t="s">
        <v>245</v>
      </c>
      <c r="C63" s="61" t="s">
        <v>2</v>
      </c>
      <c r="D63" s="141">
        <v>135</v>
      </c>
    </row>
    <row r="64" spans="1:4" x14ac:dyDescent="0.3">
      <c r="A64" s="63"/>
      <c r="B64" s="56" t="s">
        <v>246</v>
      </c>
      <c r="C64" s="61" t="s">
        <v>2</v>
      </c>
      <c r="D64" s="141">
        <v>5</v>
      </c>
    </row>
    <row r="65" spans="1:5" x14ac:dyDescent="0.3">
      <c r="A65" s="63" t="s">
        <v>249</v>
      </c>
      <c r="B65" s="56" t="s">
        <v>248</v>
      </c>
      <c r="C65" s="61" t="s">
        <v>2</v>
      </c>
      <c r="D65" s="141">
        <v>20</v>
      </c>
    </row>
    <row r="66" spans="1:5" x14ac:dyDescent="0.3">
      <c r="A66" s="63"/>
      <c r="B66" s="56" t="s">
        <v>256</v>
      </c>
      <c r="C66" s="61" t="s">
        <v>2</v>
      </c>
      <c r="D66" s="141">
        <v>97</v>
      </c>
    </row>
    <row r="67" spans="1:5" x14ac:dyDescent="0.3">
      <c r="A67" s="63" t="s">
        <v>271</v>
      </c>
      <c r="B67" s="56" t="s">
        <v>272</v>
      </c>
      <c r="C67" s="61" t="s">
        <v>2</v>
      </c>
      <c r="D67" s="141">
        <v>3</v>
      </c>
    </row>
    <row r="68" spans="1:5" x14ac:dyDescent="0.3">
      <c r="A68" s="63" t="s">
        <v>297</v>
      </c>
      <c r="B68" s="56" t="s">
        <v>296</v>
      </c>
      <c r="C68" s="61" t="s">
        <v>298</v>
      </c>
      <c r="D68" s="141">
        <v>2</v>
      </c>
    </row>
    <row r="69" spans="1:5" x14ac:dyDescent="0.3">
      <c r="A69" s="63"/>
      <c r="B69" s="56" t="s">
        <v>309</v>
      </c>
      <c r="C69" s="61" t="s">
        <v>305</v>
      </c>
      <c r="D69" s="141">
        <v>2</v>
      </c>
    </row>
    <row r="70" spans="1:5" x14ac:dyDescent="0.3">
      <c r="A70" s="63"/>
      <c r="B70" s="56" t="s">
        <v>313</v>
      </c>
      <c r="C70" s="61" t="s">
        <v>305</v>
      </c>
      <c r="D70" s="141">
        <v>2</v>
      </c>
    </row>
    <row r="71" spans="1:5" x14ac:dyDescent="0.3">
      <c r="A71" s="63"/>
      <c r="B71" s="56" t="s">
        <v>317</v>
      </c>
      <c r="C71" s="61" t="s">
        <v>2</v>
      </c>
      <c r="D71" s="141">
        <v>1</v>
      </c>
    </row>
    <row r="72" spans="1:5" x14ac:dyDescent="0.3">
      <c r="A72" s="63"/>
      <c r="B72" s="56" t="s">
        <v>319</v>
      </c>
      <c r="C72" s="61" t="s">
        <v>305</v>
      </c>
      <c r="D72" s="141">
        <v>2</v>
      </c>
    </row>
    <row r="73" spans="1:5" x14ac:dyDescent="0.3">
      <c r="A73" s="63"/>
      <c r="B73" s="56" t="s">
        <v>321</v>
      </c>
      <c r="C73" s="61" t="s">
        <v>2</v>
      </c>
      <c r="D73" s="141">
        <v>2</v>
      </c>
    </row>
    <row r="74" spans="1:5" x14ac:dyDescent="0.3">
      <c r="A74" s="63" t="s">
        <v>325</v>
      </c>
      <c r="B74" s="56" t="s">
        <v>327</v>
      </c>
      <c r="C74" s="61" t="s">
        <v>2</v>
      </c>
      <c r="D74" s="141">
        <v>3</v>
      </c>
    </row>
    <row r="75" spans="1:5" x14ac:dyDescent="0.3">
      <c r="A75" s="63"/>
      <c r="B75" s="56" t="s">
        <v>332</v>
      </c>
      <c r="C75" s="61" t="s">
        <v>43</v>
      </c>
      <c r="D75" s="141">
        <v>90</v>
      </c>
    </row>
    <row r="76" spans="1:5" x14ac:dyDescent="0.3">
      <c r="A76" s="63" t="s">
        <v>349</v>
      </c>
      <c r="B76" s="56" t="s">
        <v>353</v>
      </c>
      <c r="C76" s="61" t="s">
        <v>2</v>
      </c>
      <c r="D76" s="141">
        <v>8</v>
      </c>
    </row>
    <row r="77" spans="1:5" x14ac:dyDescent="0.3">
      <c r="A77" s="63"/>
      <c r="B77" s="56" t="s">
        <v>357</v>
      </c>
      <c r="C77" s="61" t="s">
        <v>2</v>
      </c>
      <c r="D77" s="141">
        <v>8</v>
      </c>
    </row>
    <row r="78" spans="1:5" x14ac:dyDescent="0.3">
      <c r="A78" s="63"/>
      <c r="B78" s="56" t="s">
        <v>380</v>
      </c>
      <c r="C78" s="61" t="s">
        <v>2</v>
      </c>
      <c r="D78" s="141">
        <v>8</v>
      </c>
    </row>
    <row r="79" spans="1:5" x14ac:dyDescent="0.3">
      <c r="A79" s="63"/>
      <c r="B79" s="56" t="s">
        <v>409</v>
      </c>
      <c r="C79" s="61" t="s">
        <v>2</v>
      </c>
      <c r="D79" s="141">
        <v>1</v>
      </c>
    </row>
    <row r="80" spans="1:5" x14ac:dyDescent="0.3">
      <c r="A80" s="63" t="s">
        <v>413</v>
      </c>
      <c r="B80" s="56" t="s">
        <v>364</v>
      </c>
      <c r="C80" s="61" t="s">
        <v>2</v>
      </c>
      <c r="D80" s="141">
        <v>8</v>
      </c>
      <c r="E80" s="139"/>
    </row>
    <row r="81" spans="1:4" x14ac:dyDescent="0.3">
      <c r="A81" s="63" t="s">
        <v>416</v>
      </c>
      <c r="B81" s="56" t="s">
        <v>415</v>
      </c>
      <c r="C81" s="61" t="s">
        <v>2</v>
      </c>
      <c r="D81" s="141">
        <v>18</v>
      </c>
    </row>
    <row r="82" spans="1:4" x14ac:dyDescent="0.3">
      <c r="A82" s="63"/>
      <c r="B82" s="56" t="s">
        <v>428</v>
      </c>
      <c r="C82" s="61" t="s">
        <v>2</v>
      </c>
      <c r="D82" s="141">
        <v>12</v>
      </c>
    </row>
    <row r="83" spans="1:4" x14ac:dyDescent="0.3">
      <c r="A83" s="63"/>
      <c r="B83" s="144" t="s">
        <v>431</v>
      </c>
      <c r="C83" s="145" t="s">
        <v>2</v>
      </c>
      <c r="D83" s="142">
        <v>1</v>
      </c>
    </row>
    <row r="84" spans="1:4" x14ac:dyDescent="0.3">
      <c r="A84" s="63"/>
      <c r="B84" s="56" t="s">
        <v>439</v>
      </c>
      <c r="C84" s="61" t="s">
        <v>2</v>
      </c>
      <c r="D84" s="141">
        <v>3</v>
      </c>
    </row>
    <row r="85" spans="1:4" x14ac:dyDescent="0.3">
      <c r="A85" s="63"/>
      <c r="B85" s="56" t="s">
        <v>441</v>
      </c>
      <c r="C85" s="61" t="s">
        <v>2</v>
      </c>
      <c r="D85" s="141">
        <v>16</v>
      </c>
    </row>
    <row r="86" spans="1:4" x14ac:dyDescent="0.3">
      <c r="A86" s="63"/>
      <c r="B86" s="56" t="s">
        <v>442</v>
      </c>
      <c r="C86" s="61" t="s">
        <v>2</v>
      </c>
      <c r="D86" s="141">
        <v>16</v>
      </c>
    </row>
    <row r="87" spans="1:4" x14ac:dyDescent="0.3">
      <c r="A87" s="63"/>
      <c r="B87" s="56" t="s">
        <v>443</v>
      </c>
      <c r="C87" s="61" t="s">
        <v>2</v>
      </c>
      <c r="D87" s="141">
        <v>22</v>
      </c>
    </row>
    <row r="88" spans="1:4" x14ac:dyDescent="0.3">
      <c r="A88" s="63"/>
      <c r="B88" s="56" t="s">
        <v>445</v>
      </c>
      <c r="C88" s="61" t="s">
        <v>2</v>
      </c>
      <c r="D88" s="141">
        <v>1</v>
      </c>
    </row>
    <row r="89" spans="1:4" x14ac:dyDescent="0.3">
      <c r="A89" s="63"/>
      <c r="B89" s="56" t="s">
        <v>446</v>
      </c>
      <c r="C89" s="61" t="s">
        <v>2</v>
      </c>
      <c r="D89" s="141">
        <v>1</v>
      </c>
    </row>
    <row r="90" spans="1:4" x14ac:dyDescent="0.3">
      <c r="A90" s="63"/>
      <c r="B90" s="56" t="s">
        <v>836</v>
      </c>
      <c r="C90" s="61" t="s">
        <v>2</v>
      </c>
      <c r="D90" s="141">
        <v>10</v>
      </c>
    </row>
    <row r="91" spans="1:4" x14ac:dyDescent="0.3">
      <c r="A91" s="63" t="s">
        <v>451</v>
      </c>
      <c r="B91" s="56" t="s">
        <v>454</v>
      </c>
      <c r="C91" s="61" t="s">
        <v>2</v>
      </c>
      <c r="D91" s="141">
        <v>24</v>
      </c>
    </row>
    <row r="92" spans="1:4" x14ac:dyDescent="0.3">
      <c r="A92" s="63"/>
      <c r="B92" s="56" t="s">
        <v>467</v>
      </c>
      <c r="C92" s="61" t="s">
        <v>2</v>
      </c>
      <c r="D92" s="141">
        <v>96</v>
      </c>
    </row>
    <row r="93" spans="1:4" x14ac:dyDescent="0.3">
      <c r="A93" s="63"/>
      <c r="B93" s="56" t="s">
        <v>469</v>
      </c>
      <c r="C93" s="61" t="s">
        <v>2</v>
      </c>
      <c r="D93" s="141">
        <v>70</v>
      </c>
    </row>
    <row r="94" spans="1:4" x14ac:dyDescent="0.3">
      <c r="A94" s="63"/>
      <c r="B94" s="56" t="s">
        <v>482</v>
      </c>
      <c r="C94" s="61" t="s">
        <v>2</v>
      </c>
      <c r="D94" s="141">
        <v>90</v>
      </c>
    </row>
    <row r="95" spans="1:4" x14ac:dyDescent="0.3">
      <c r="A95" s="63"/>
      <c r="B95" s="56" t="s">
        <v>501</v>
      </c>
      <c r="C95" s="61" t="s">
        <v>2</v>
      </c>
      <c r="D95" s="141">
        <v>12</v>
      </c>
    </row>
    <row r="96" spans="1:4" x14ac:dyDescent="0.3">
      <c r="A96" s="63"/>
      <c r="B96" s="56" t="s">
        <v>504</v>
      </c>
      <c r="C96" s="61" t="s">
        <v>2</v>
      </c>
      <c r="D96" s="141">
        <v>12</v>
      </c>
    </row>
    <row r="97" spans="1:4" x14ac:dyDescent="0.3">
      <c r="A97" s="63"/>
      <c r="B97" s="56" t="s">
        <v>529</v>
      </c>
      <c r="C97" s="61" t="s">
        <v>2</v>
      </c>
      <c r="D97" s="141">
        <v>78</v>
      </c>
    </row>
    <row r="98" spans="1:4" x14ac:dyDescent="0.3">
      <c r="A98" s="63"/>
      <c r="B98" s="56" t="s">
        <v>530</v>
      </c>
      <c r="C98" s="61" t="s">
        <v>531</v>
      </c>
      <c r="D98" s="141">
        <v>1</v>
      </c>
    </row>
    <row r="99" spans="1:4" x14ac:dyDescent="0.3">
      <c r="A99" s="63"/>
      <c r="B99" s="56" t="s">
        <v>534</v>
      </c>
      <c r="C99" s="61" t="s">
        <v>2</v>
      </c>
      <c r="D99" s="141">
        <v>9</v>
      </c>
    </row>
    <row r="100" spans="1:4" x14ac:dyDescent="0.3">
      <c r="A100" s="63"/>
      <c r="B100" s="56" t="s">
        <v>535</v>
      </c>
      <c r="C100" s="61" t="s">
        <v>2</v>
      </c>
      <c r="D100" s="141">
        <v>10</v>
      </c>
    </row>
    <row r="101" spans="1:4" x14ac:dyDescent="0.3">
      <c r="A101" s="63"/>
      <c r="B101" s="56" t="s">
        <v>542</v>
      </c>
      <c r="C101" s="61" t="s">
        <v>2</v>
      </c>
      <c r="D101" s="141">
        <v>2</v>
      </c>
    </row>
    <row r="102" spans="1:4" x14ac:dyDescent="0.3">
      <c r="A102" s="63"/>
      <c r="B102" s="56" t="s">
        <v>546</v>
      </c>
      <c r="C102" s="61" t="s">
        <v>2</v>
      </c>
      <c r="D102" s="141">
        <v>30</v>
      </c>
    </row>
    <row r="103" spans="1:4" x14ac:dyDescent="0.3">
      <c r="A103" s="63"/>
      <c r="B103" s="56" t="s">
        <v>547</v>
      </c>
      <c r="C103" s="61" t="s">
        <v>2</v>
      </c>
      <c r="D103" s="141">
        <v>66</v>
      </c>
    </row>
    <row r="104" spans="1:4" x14ac:dyDescent="0.3">
      <c r="A104" s="63"/>
      <c r="B104" s="56" t="s">
        <v>553</v>
      </c>
      <c r="C104" s="61" t="s">
        <v>2</v>
      </c>
      <c r="D104" s="141">
        <v>90</v>
      </c>
    </row>
    <row r="105" spans="1:4" x14ac:dyDescent="0.3">
      <c r="A105" s="63" t="s">
        <v>566</v>
      </c>
      <c r="B105" s="56" t="s">
        <v>565</v>
      </c>
      <c r="C105" s="61" t="s">
        <v>2</v>
      </c>
      <c r="D105" s="141">
        <v>15</v>
      </c>
    </row>
    <row r="106" spans="1:4" x14ac:dyDescent="0.3">
      <c r="A106" s="63"/>
      <c r="B106" s="56" t="s">
        <v>567</v>
      </c>
      <c r="C106" s="61" t="s">
        <v>2</v>
      </c>
      <c r="D106" s="141">
        <v>6</v>
      </c>
    </row>
    <row r="107" spans="1:4" x14ac:dyDescent="0.3">
      <c r="A107" s="63"/>
      <c r="B107" s="56" t="s">
        <v>568</v>
      </c>
      <c r="C107" s="61" t="s">
        <v>2</v>
      </c>
      <c r="D107" s="141">
        <v>6</v>
      </c>
    </row>
    <row r="108" spans="1:4" x14ac:dyDescent="0.3">
      <c r="A108" s="63" t="s">
        <v>572</v>
      </c>
      <c r="B108" s="56" t="s">
        <v>574</v>
      </c>
      <c r="C108" s="61" t="s">
        <v>2</v>
      </c>
      <c r="D108" s="141">
        <v>2</v>
      </c>
    </row>
    <row r="109" spans="1:4" x14ac:dyDescent="0.3">
      <c r="A109" s="63"/>
      <c r="B109" s="56" t="s">
        <v>579</v>
      </c>
      <c r="C109" s="61" t="s">
        <v>2</v>
      </c>
      <c r="D109" s="141">
        <v>1</v>
      </c>
    </row>
    <row r="110" spans="1:4" x14ac:dyDescent="0.3">
      <c r="A110" s="63"/>
      <c r="B110" s="56" t="s">
        <v>583</v>
      </c>
      <c r="C110" s="61" t="s">
        <v>2</v>
      </c>
      <c r="D110" s="141">
        <v>1</v>
      </c>
    </row>
    <row r="111" spans="1:4" x14ac:dyDescent="0.3">
      <c r="A111" s="63"/>
      <c r="B111" s="56" t="s">
        <v>584</v>
      </c>
      <c r="C111" s="61" t="s">
        <v>2</v>
      </c>
      <c r="D111" s="141">
        <v>2</v>
      </c>
    </row>
    <row r="112" spans="1:4" x14ac:dyDescent="0.3">
      <c r="A112" s="63"/>
      <c r="B112" s="56" t="s">
        <v>586</v>
      </c>
      <c r="C112" s="61" t="s">
        <v>2</v>
      </c>
      <c r="D112" s="141">
        <v>1</v>
      </c>
    </row>
    <row r="113" spans="1:4" x14ac:dyDescent="0.3">
      <c r="A113" s="63"/>
      <c r="B113" s="56" t="s">
        <v>595</v>
      </c>
      <c r="C113" s="61" t="s">
        <v>531</v>
      </c>
      <c r="D113" s="141">
        <v>1</v>
      </c>
    </row>
    <row r="114" spans="1:4" x14ac:dyDescent="0.3">
      <c r="A114" s="63"/>
      <c r="B114" s="56" t="s">
        <v>597</v>
      </c>
      <c r="C114" s="61" t="s">
        <v>2</v>
      </c>
      <c r="D114" s="141">
        <v>3</v>
      </c>
    </row>
    <row r="115" spans="1:4" x14ac:dyDescent="0.3">
      <c r="A115" s="63"/>
      <c r="B115" s="56" t="s">
        <v>598</v>
      </c>
      <c r="C115" s="61" t="s">
        <v>2</v>
      </c>
      <c r="D115" s="141">
        <v>1</v>
      </c>
    </row>
    <row r="116" spans="1:4" x14ac:dyDescent="0.3">
      <c r="A116" s="63"/>
      <c r="B116" s="56" t="s">
        <v>601</v>
      </c>
      <c r="C116" s="61" t="s">
        <v>2</v>
      </c>
      <c r="D116" s="141">
        <v>1</v>
      </c>
    </row>
    <row r="117" spans="1:4" x14ac:dyDescent="0.3">
      <c r="A117" s="63"/>
      <c r="B117" s="56" t="s">
        <v>609</v>
      </c>
      <c r="C117" s="61" t="s">
        <v>531</v>
      </c>
      <c r="D117" s="141">
        <v>3</v>
      </c>
    </row>
    <row r="118" spans="1:4" x14ac:dyDescent="0.3">
      <c r="A118" s="63"/>
      <c r="B118" s="56" t="s">
        <v>633</v>
      </c>
      <c r="C118" s="61" t="s">
        <v>2</v>
      </c>
      <c r="D118" s="141">
        <v>2</v>
      </c>
    </row>
    <row r="119" spans="1:4" x14ac:dyDescent="0.3">
      <c r="A119" s="63"/>
      <c r="B119" s="56" t="s">
        <v>569</v>
      </c>
      <c r="C119" s="61" t="s">
        <v>531</v>
      </c>
      <c r="D119" s="141">
        <v>2</v>
      </c>
    </row>
    <row r="120" spans="1:4" x14ac:dyDescent="0.3">
      <c r="A120" s="63"/>
      <c r="B120" s="56" t="s">
        <v>639</v>
      </c>
      <c r="C120" s="61" t="s">
        <v>531</v>
      </c>
      <c r="D120" s="141">
        <v>20</v>
      </c>
    </row>
    <row r="121" spans="1:4" x14ac:dyDescent="0.3">
      <c r="A121" s="63"/>
      <c r="B121" s="56" t="s">
        <v>643</v>
      </c>
      <c r="C121" s="61" t="s">
        <v>531</v>
      </c>
      <c r="D121" s="141">
        <v>80</v>
      </c>
    </row>
    <row r="122" spans="1:4" x14ac:dyDescent="0.3">
      <c r="A122" s="63" t="s">
        <v>576</v>
      </c>
      <c r="B122" s="56" t="s">
        <v>663</v>
      </c>
      <c r="C122" s="61" t="s">
        <v>2</v>
      </c>
      <c r="D122" s="141">
        <v>3</v>
      </c>
    </row>
    <row r="123" spans="1:4" x14ac:dyDescent="0.3">
      <c r="A123" s="63"/>
      <c r="B123" s="56" t="s">
        <v>708</v>
      </c>
      <c r="C123" s="61" t="s">
        <v>2</v>
      </c>
      <c r="D123" s="141">
        <v>5</v>
      </c>
    </row>
    <row r="124" spans="1:4" x14ac:dyDescent="0.3">
      <c r="A124" s="63"/>
      <c r="B124" s="56" t="s">
        <v>725</v>
      </c>
      <c r="C124" s="61" t="s">
        <v>2</v>
      </c>
      <c r="D124" s="141">
        <v>4</v>
      </c>
    </row>
    <row r="125" spans="1:4" x14ac:dyDescent="0.3">
      <c r="A125" s="63" t="s">
        <v>853</v>
      </c>
      <c r="B125" s="56" t="s">
        <v>853</v>
      </c>
      <c r="C125" s="61"/>
      <c r="D125" s="141"/>
    </row>
    <row r="126" spans="1:4" x14ac:dyDescent="0.3">
      <c r="A126" s="64"/>
      <c r="B126" s="57"/>
      <c r="C126" s="146" t="s">
        <v>853</v>
      </c>
      <c r="D126" s="143"/>
    </row>
  </sheetData>
  <sheetProtection pivotTables="0"/>
  <mergeCells count="1"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 xml:space="preserve">&amp;L1. Valores Incluyen IVA
2. Transporte y bases de apoyo no incluidos.
3. Formas de pago: transferencia - pago contado
4. Proceso de pagos 50% inicial - 25% obra - 25% entrega.&amp;ROferta valida por 7 dias.
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80DA-24B5-4C9F-9DDE-B0B8DE2971E8}">
  <dimension ref="A2:F112"/>
  <sheetViews>
    <sheetView showGridLines="0" workbookViewId="0">
      <selection activeCell="O30" sqref="O30"/>
    </sheetView>
  </sheetViews>
  <sheetFormatPr baseColWidth="10" defaultColWidth="11.44140625" defaultRowHeight="14.4" x14ac:dyDescent="0.3"/>
  <cols>
    <col min="1" max="1" width="10.5546875" customWidth="1"/>
    <col min="2" max="2" width="34.6640625" customWidth="1"/>
    <col min="3" max="3" width="7.33203125" customWidth="1"/>
    <col min="4" max="4" width="8.44140625" customWidth="1"/>
    <col min="5" max="5" width="11.44140625" customWidth="1"/>
    <col min="6" max="6" width="11.6640625" customWidth="1"/>
    <col min="7" max="12" width="0" hidden="1" customWidth="1"/>
  </cols>
  <sheetData>
    <row r="2" spans="1:6" ht="15" thickBot="1" x14ac:dyDescent="0.35">
      <c r="D2" s="161" t="s">
        <v>821</v>
      </c>
      <c r="E2" s="162"/>
      <c r="F2" s="163"/>
    </row>
    <row r="3" spans="1:6" ht="15" thickTop="1" x14ac:dyDescent="0.3">
      <c r="D3" s="18"/>
    </row>
    <row r="4" spans="1:6" x14ac:dyDescent="0.3">
      <c r="D4" s="173" t="s">
        <v>846</v>
      </c>
      <c r="E4" s="174"/>
      <c r="F4" s="29">
        <f>SUM(F10:F1048576)</f>
        <v>7815527.823529412</v>
      </c>
    </row>
    <row r="5" spans="1:6" x14ac:dyDescent="0.3">
      <c r="D5" s="165" t="s">
        <v>833</v>
      </c>
      <c r="E5" s="166"/>
      <c r="F5" s="39">
        <f>F4*19%</f>
        <v>1484950.2864705883</v>
      </c>
    </row>
    <row r="6" spans="1:6" ht="15" thickBot="1" x14ac:dyDescent="0.35">
      <c r="A6" t="s">
        <v>854</v>
      </c>
      <c r="D6" s="175" t="s">
        <v>822</v>
      </c>
      <c r="E6" s="175"/>
      <c r="F6" s="90">
        <f>F5+F4</f>
        <v>9300478.1099999994</v>
      </c>
    </row>
    <row r="7" spans="1:6" ht="15" thickTop="1" x14ac:dyDescent="0.3">
      <c r="B7" s="37">
        <f>'3 - Impresión Personalizado'!B7</f>
        <v>0</v>
      </c>
    </row>
    <row r="9" spans="1:6" ht="15.6" x14ac:dyDescent="0.3">
      <c r="A9" s="135" t="s">
        <v>1</v>
      </c>
      <c r="B9" s="96" t="s">
        <v>0</v>
      </c>
      <c r="C9" s="96" t="s">
        <v>2</v>
      </c>
      <c r="D9" s="96" t="s">
        <v>776</v>
      </c>
      <c r="E9" s="96" t="s">
        <v>823</v>
      </c>
      <c r="F9" s="97" t="s">
        <v>824</v>
      </c>
    </row>
    <row r="10" spans="1:6" hidden="1" x14ac:dyDescent="0.3"/>
    <row r="11" spans="1:6" hidden="1" x14ac:dyDescent="0.3">
      <c r="A11" s="40" t="s">
        <v>1</v>
      </c>
      <c r="B11" s="40" t="s">
        <v>0</v>
      </c>
      <c r="C11" s="40" t="s">
        <v>2</v>
      </c>
      <c r="D11" s="40" t="s">
        <v>776</v>
      </c>
      <c r="E11" s="40" t="s">
        <v>823</v>
      </c>
      <c r="F11" s="40" t="s">
        <v>824</v>
      </c>
    </row>
    <row r="12" spans="1:6" x14ac:dyDescent="0.3">
      <c r="A12" s="26" t="s">
        <v>78</v>
      </c>
      <c r="B12" s="3" t="s">
        <v>82</v>
      </c>
      <c r="C12" s="55" t="s">
        <v>2</v>
      </c>
      <c r="D12" s="67">
        <v>1</v>
      </c>
      <c r="E12" s="43">
        <v>47000</v>
      </c>
      <c r="F12" s="43">
        <v>47000</v>
      </c>
    </row>
    <row r="13" spans="1:6" x14ac:dyDescent="0.3">
      <c r="A13" s="27"/>
      <c r="B13" s="33" t="s">
        <v>101</v>
      </c>
      <c r="C13" s="56" t="s">
        <v>2</v>
      </c>
      <c r="D13" s="68">
        <v>1</v>
      </c>
      <c r="E13" s="44">
        <v>137000</v>
      </c>
      <c r="F13" s="44">
        <v>137000</v>
      </c>
    </row>
    <row r="14" spans="1:6" x14ac:dyDescent="0.3">
      <c r="A14" s="27"/>
      <c r="B14" s="33" t="s">
        <v>128</v>
      </c>
      <c r="C14" s="56" t="s">
        <v>2</v>
      </c>
      <c r="D14" s="68">
        <v>1</v>
      </c>
      <c r="E14" s="44">
        <v>120000</v>
      </c>
      <c r="F14" s="44">
        <v>120000</v>
      </c>
    </row>
    <row r="15" spans="1:6" x14ac:dyDescent="0.3">
      <c r="A15" s="27"/>
      <c r="B15" s="33" t="s">
        <v>77</v>
      </c>
      <c r="C15" s="56" t="s">
        <v>2</v>
      </c>
      <c r="D15" s="68">
        <v>4</v>
      </c>
      <c r="E15" s="44">
        <v>4700</v>
      </c>
      <c r="F15" s="44">
        <v>18800</v>
      </c>
    </row>
    <row r="16" spans="1:6" x14ac:dyDescent="0.3">
      <c r="A16" s="27"/>
      <c r="B16" s="33" t="s">
        <v>88</v>
      </c>
      <c r="C16" s="56" t="s">
        <v>2</v>
      </c>
      <c r="D16" s="68">
        <v>1</v>
      </c>
      <c r="E16" s="44">
        <v>50000</v>
      </c>
      <c r="F16" s="44">
        <v>50000</v>
      </c>
    </row>
    <row r="17" spans="1:6" x14ac:dyDescent="0.3">
      <c r="A17" s="27"/>
      <c r="B17" s="33" t="s">
        <v>93</v>
      </c>
      <c r="C17" s="56" t="s">
        <v>2</v>
      </c>
      <c r="D17" s="68">
        <v>1</v>
      </c>
      <c r="E17" s="44">
        <v>15957.983193277312</v>
      </c>
      <c r="F17" s="44">
        <v>15957.983193277312</v>
      </c>
    </row>
    <row r="18" spans="1:6" x14ac:dyDescent="0.3">
      <c r="A18" s="27"/>
      <c r="B18" s="33" t="s">
        <v>97</v>
      </c>
      <c r="C18" s="56" t="s">
        <v>2</v>
      </c>
      <c r="D18" s="68">
        <v>1</v>
      </c>
      <c r="E18" s="44">
        <v>179048.82352941178</v>
      </c>
      <c r="F18" s="44">
        <v>179048.82352941178</v>
      </c>
    </row>
    <row r="19" spans="1:6" x14ac:dyDescent="0.3">
      <c r="A19" s="27"/>
      <c r="B19" s="33" t="s">
        <v>114</v>
      </c>
      <c r="C19" s="56" t="s">
        <v>2</v>
      </c>
      <c r="D19" s="68">
        <v>1</v>
      </c>
      <c r="E19" s="44">
        <v>159000</v>
      </c>
      <c r="F19" s="44">
        <v>159000</v>
      </c>
    </row>
    <row r="20" spans="1:6" x14ac:dyDescent="0.3">
      <c r="A20" s="27"/>
      <c r="B20" s="33" t="s">
        <v>327</v>
      </c>
      <c r="C20" s="56" t="s">
        <v>2</v>
      </c>
      <c r="D20" s="68">
        <v>2</v>
      </c>
      <c r="E20" s="44">
        <v>1840.3361344537816</v>
      </c>
      <c r="F20" s="44">
        <v>3680.6722689075632</v>
      </c>
    </row>
    <row r="21" spans="1:6" x14ac:dyDescent="0.3">
      <c r="A21" s="27"/>
      <c r="B21" s="33" t="s">
        <v>343</v>
      </c>
      <c r="C21" s="56" t="s">
        <v>43</v>
      </c>
      <c r="D21" s="68">
        <v>9</v>
      </c>
      <c r="E21" s="44">
        <v>8394.957983193277</v>
      </c>
      <c r="F21" s="44">
        <v>75554.621848739494</v>
      </c>
    </row>
    <row r="22" spans="1:6" x14ac:dyDescent="0.3">
      <c r="A22" s="27"/>
      <c r="B22" s="33" t="s">
        <v>347</v>
      </c>
      <c r="C22" s="56" t="s">
        <v>2</v>
      </c>
      <c r="D22" s="68">
        <v>1</v>
      </c>
      <c r="E22" s="44">
        <v>17638.655462184874</v>
      </c>
      <c r="F22" s="44">
        <v>17638.655462184874</v>
      </c>
    </row>
    <row r="23" spans="1:6" x14ac:dyDescent="0.3">
      <c r="A23" s="27"/>
      <c r="B23" s="33" t="s">
        <v>80</v>
      </c>
      <c r="C23" s="56" t="s">
        <v>2</v>
      </c>
      <c r="D23" s="68">
        <v>1</v>
      </c>
      <c r="E23" s="44">
        <v>9000</v>
      </c>
      <c r="F23" s="44">
        <v>9000</v>
      </c>
    </row>
    <row r="24" spans="1:6" x14ac:dyDescent="0.3">
      <c r="A24" s="27" t="s">
        <v>853</v>
      </c>
      <c r="B24" s="33" t="s">
        <v>853</v>
      </c>
      <c r="C24" s="56"/>
      <c r="D24" s="68" t="s">
        <v>853</v>
      </c>
      <c r="E24" s="44"/>
      <c r="F24" s="44"/>
    </row>
    <row r="25" spans="1:6" x14ac:dyDescent="0.3">
      <c r="A25" s="27" t="s">
        <v>188</v>
      </c>
      <c r="B25" s="33" t="s">
        <v>190</v>
      </c>
      <c r="C25" s="56" t="s">
        <v>2</v>
      </c>
      <c r="D25" s="68">
        <v>1</v>
      </c>
      <c r="E25" s="44">
        <v>1950000</v>
      </c>
      <c r="F25" s="44">
        <v>1950000</v>
      </c>
    </row>
    <row r="26" spans="1:6" x14ac:dyDescent="0.3">
      <c r="A26" s="27" t="s">
        <v>59</v>
      </c>
      <c r="B26" s="33" t="s">
        <v>67</v>
      </c>
      <c r="C26" s="56" t="s">
        <v>65</v>
      </c>
      <c r="D26" s="68">
        <v>1</v>
      </c>
      <c r="E26" s="44">
        <v>768000</v>
      </c>
      <c r="F26" s="44">
        <v>768000</v>
      </c>
    </row>
    <row r="27" spans="1:6" x14ac:dyDescent="0.3">
      <c r="A27" s="27" t="s">
        <v>133</v>
      </c>
      <c r="B27" s="33" t="s">
        <v>156</v>
      </c>
      <c r="C27" s="56" t="s">
        <v>2</v>
      </c>
      <c r="D27" s="68">
        <v>1</v>
      </c>
      <c r="E27" s="44">
        <v>82345</v>
      </c>
      <c r="F27" s="44">
        <v>82345</v>
      </c>
    </row>
    <row r="28" spans="1:6" x14ac:dyDescent="0.3">
      <c r="A28" s="27"/>
      <c r="B28" s="33" t="s">
        <v>160</v>
      </c>
      <c r="C28" s="56" t="s">
        <v>2</v>
      </c>
      <c r="D28" s="68">
        <v>1</v>
      </c>
      <c r="E28" s="44">
        <v>22500</v>
      </c>
      <c r="F28" s="44">
        <v>22500</v>
      </c>
    </row>
    <row r="29" spans="1:6" x14ac:dyDescent="0.3">
      <c r="A29" s="27" t="s">
        <v>199</v>
      </c>
      <c r="B29" s="33" t="s">
        <v>198</v>
      </c>
      <c r="C29" s="56" t="s">
        <v>2</v>
      </c>
      <c r="D29" s="68">
        <v>100</v>
      </c>
      <c r="E29" s="44">
        <v>112</v>
      </c>
      <c r="F29" s="44">
        <v>11200</v>
      </c>
    </row>
    <row r="30" spans="1:6" x14ac:dyDescent="0.3">
      <c r="A30" s="27"/>
      <c r="B30" s="33" t="s">
        <v>202</v>
      </c>
      <c r="C30" s="56" t="s">
        <v>2</v>
      </c>
      <c r="D30" s="68">
        <v>1</v>
      </c>
      <c r="E30" s="44">
        <v>3500</v>
      </c>
      <c r="F30" s="44">
        <v>3500</v>
      </c>
    </row>
    <row r="31" spans="1:6" x14ac:dyDescent="0.3">
      <c r="A31" s="27"/>
      <c r="B31" s="33" t="s">
        <v>213</v>
      </c>
      <c r="C31" s="56" t="s">
        <v>2</v>
      </c>
      <c r="D31" s="68">
        <v>2</v>
      </c>
      <c r="E31" s="44">
        <v>2260.5042016806724</v>
      </c>
      <c r="F31" s="44">
        <v>4521.0084033613448</v>
      </c>
    </row>
    <row r="32" spans="1:6" x14ac:dyDescent="0.3">
      <c r="A32" s="27"/>
      <c r="B32" s="33" t="s">
        <v>215</v>
      </c>
      <c r="C32" s="56" t="s">
        <v>2</v>
      </c>
      <c r="D32" s="68">
        <v>35</v>
      </c>
      <c r="E32" s="44">
        <v>800</v>
      </c>
      <c r="F32" s="44">
        <v>28000</v>
      </c>
    </row>
    <row r="33" spans="1:6" x14ac:dyDescent="0.3">
      <c r="A33" s="27"/>
      <c r="B33" s="33" t="s">
        <v>218</v>
      </c>
      <c r="C33" s="56" t="s">
        <v>2</v>
      </c>
      <c r="D33" s="68">
        <v>1</v>
      </c>
      <c r="E33" s="44">
        <v>1200</v>
      </c>
      <c r="F33" s="44">
        <v>1200</v>
      </c>
    </row>
    <row r="34" spans="1:6" x14ac:dyDescent="0.3">
      <c r="A34" s="27"/>
      <c r="B34" s="33" t="s">
        <v>219</v>
      </c>
      <c r="C34" s="56" t="s">
        <v>220</v>
      </c>
      <c r="D34" s="68">
        <v>1</v>
      </c>
      <c r="E34" s="44">
        <v>5600</v>
      </c>
      <c r="F34" s="44">
        <v>5600</v>
      </c>
    </row>
    <row r="35" spans="1:6" x14ac:dyDescent="0.3">
      <c r="A35" s="27"/>
      <c r="B35" s="33" t="s">
        <v>221</v>
      </c>
      <c r="C35" s="56" t="s">
        <v>220</v>
      </c>
      <c r="D35" s="68">
        <v>1</v>
      </c>
      <c r="E35" s="44">
        <v>5600</v>
      </c>
      <c r="F35" s="44">
        <v>5600</v>
      </c>
    </row>
    <row r="36" spans="1:6" x14ac:dyDescent="0.3">
      <c r="A36" s="27"/>
      <c r="B36" s="33" t="s">
        <v>222</v>
      </c>
      <c r="C36" s="56" t="s">
        <v>220</v>
      </c>
      <c r="D36" s="68">
        <v>90</v>
      </c>
      <c r="E36" s="44">
        <v>370</v>
      </c>
      <c r="F36" s="44">
        <v>33300</v>
      </c>
    </row>
    <row r="37" spans="1:6" x14ac:dyDescent="0.3">
      <c r="A37" s="27"/>
      <c r="B37" s="33" t="s">
        <v>223</v>
      </c>
      <c r="C37" s="56" t="s">
        <v>2</v>
      </c>
      <c r="D37" s="68">
        <v>4</v>
      </c>
      <c r="E37" s="44">
        <v>2000</v>
      </c>
      <c r="F37" s="44">
        <v>8000</v>
      </c>
    </row>
    <row r="38" spans="1:6" x14ac:dyDescent="0.3">
      <c r="A38" s="27"/>
      <c r="B38" s="33" t="s">
        <v>224</v>
      </c>
      <c r="C38" s="56" t="s">
        <v>2</v>
      </c>
      <c r="D38" s="68">
        <v>2</v>
      </c>
      <c r="E38" s="44">
        <v>2460</v>
      </c>
      <c r="F38" s="44">
        <v>4920</v>
      </c>
    </row>
    <row r="39" spans="1:6" x14ac:dyDescent="0.3">
      <c r="A39" s="27"/>
      <c r="B39" s="33" t="s">
        <v>226</v>
      </c>
      <c r="C39" s="56" t="s">
        <v>2</v>
      </c>
      <c r="D39" s="68">
        <v>12</v>
      </c>
      <c r="E39" s="44">
        <v>3000</v>
      </c>
      <c r="F39" s="44">
        <v>36000</v>
      </c>
    </row>
    <row r="40" spans="1:6" x14ac:dyDescent="0.3">
      <c r="A40" s="27"/>
      <c r="B40" s="33" t="s">
        <v>227</v>
      </c>
      <c r="C40" s="56" t="s">
        <v>2</v>
      </c>
      <c r="D40" s="68">
        <v>1</v>
      </c>
      <c r="E40" s="44">
        <v>11000</v>
      </c>
      <c r="F40" s="44">
        <v>11000</v>
      </c>
    </row>
    <row r="41" spans="1:6" x14ac:dyDescent="0.3">
      <c r="A41" s="27"/>
      <c r="B41" s="33" t="s">
        <v>228</v>
      </c>
      <c r="C41" s="56" t="s">
        <v>220</v>
      </c>
      <c r="D41" s="68">
        <v>1</v>
      </c>
      <c r="E41" s="44">
        <v>1300</v>
      </c>
      <c r="F41" s="44">
        <v>1300</v>
      </c>
    </row>
    <row r="42" spans="1:6" x14ac:dyDescent="0.3">
      <c r="A42" s="27"/>
      <c r="B42" s="33" t="s">
        <v>229</v>
      </c>
      <c r="C42" s="56" t="s">
        <v>220</v>
      </c>
      <c r="D42" s="68">
        <v>1</v>
      </c>
      <c r="E42" s="44">
        <v>1300</v>
      </c>
      <c r="F42" s="44">
        <v>1300</v>
      </c>
    </row>
    <row r="43" spans="1:6" x14ac:dyDescent="0.3">
      <c r="A43" s="27"/>
      <c r="B43" s="33" t="s">
        <v>230</v>
      </c>
      <c r="C43" s="56" t="s">
        <v>2</v>
      </c>
      <c r="D43" s="68">
        <v>1</v>
      </c>
      <c r="E43" s="44">
        <v>5000</v>
      </c>
      <c r="F43" s="44">
        <v>5000</v>
      </c>
    </row>
    <row r="44" spans="1:6" x14ac:dyDescent="0.3">
      <c r="A44" s="27"/>
      <c r="B44" s="33" t="s">
        <v>231</v>
      </c>
      <c r="C44" s="56" t="s">
        <v>2</v>
      </c>
      <c r="D44" s="68">
        <v>1</v>
      </c>
      <c r="E44" s="44">
        <v>6000</v>
      </c>
      <c r="F44" s="44">
        <v>6000</v>
      </c>
    </row>
    <row r="45" spans="1:6" x14ac:dyDescent="0.3">
      <c r="A45" s="27"/>
      <c r="B45" s="33" t="s">
        <v>234</v>
      </c>
      <c r="C45" s="56" t="s">
        <v>2</v>
      </c>
      <c r="D45" s="68">
        <v>1</v>
      </c>
      <c r="E45" s="44">
        <v>2000</v>
      </c>
      <c r="F45" s="44">
        <v>2000</v>
      </c>
    </row>
    <row r="46" spans="1:6" x14ac:dyDescent="0.3">
      <c r="A46" s="27"/>
      <c r="B46" s="33" t="s">
        <v>236</v>
      </c>
      <c r="C46" s="56" t="s">
        <v>2</v>
      </c>
      <c r="D46" s="68">
        <v>1</v>
      </c>
      <c r="E46" s="44">
        <v>10084</v>
      </c>
      <c r="F46" s="44">
        <v>10084</v>
      </c>
    </row>
    <row r="47" spans="1:6" x14ac:dyDescent="0.3">
      <c r="A47" s="27"/>
      <c r="B47" s="33" t="s">
        <v>239</v>
      </c>
      <c r="C47" s="56" t="s">
        <v>2</v>
      </c>
      <c r="D47" s="68">
        <v>1</v>
      </c>
      <c r="E47" s="44">
        <v>13500</v>
      </c>
      <c r="F47" s="44">
        <v>13500</v>
      </c>
    </row>
    <row r="48" spans="1:6" x14ac:dyDescent="0.3">
      <c r="A48" s="27"/>
      <c r="B48" s="33" t="s">
        <v>241</v>
      </c>
      <c r="C48" s="56" t="s">
        <v>2</v>
      </c>
      <c r="D48" s="68">
        <v>5</v>
      </c>
      <c r="E48" s="44">
        <v>2000</v>
      </c>
      <c r="F48" s="44">
        <v>10000</v>
      </c>
    </row>
    <row r="49" spans="1:6" x14ac:dyDescent="0.3">
      <c r="A49" s="27"/>
      <c r="B49" s="33" t="s">
        <v>245</v>
      </c>
      <c r="C49" s="56" t="s">
        <v>2</v>
      </c>
      <c r="D49" s="68">
        <v>40</v>
      </c>
      <c r="E49" s="44">
        <v>680</v>
      </c>
      <c r="F49" s="44">
        <v>27200</v>
      </c>
    </row>
    <row r="50" spans="1:6" x14ac:dyDescent="0.3">
      <c r="A50" s="27"/>
      <c r="B50" s="33" t="s">
        <v>203</v>
      </c>
      <c r="C50" s="56" t="s">
        <v>2</v>
      </c>
      <c r="D50" s="68">
        <v>3</v>
      </c>
      <c r="E50" s="44">
        <v>3500</v>
      </c>
      <c r="F50" s="44">
        <v>10500</v>
      </c>
    </row>
    <row r="51" spans="1:6" x14ac:dyDescent="0.3">
      <c r="A51" s="27"/>
      <c r="B51" s="33" t="s">
        <v>204</v>
      </c>
      <c r="C51" s="56" t="s">
        <v>2</v>
      </c>
      <c r="D51" s="68">
        <v>1</v>
      </c>
      <c r="E51" s="44">
        <v>9900</v>
      </c>
      <c r="F51" s="44">
        <v>9900</v>
      </c>
    </row>
    <row r="52" spans="1:6" x14ac:dyDescent="0.3">
      <c r="A52" s="27"/>
      <c r="B52" s="33" t="s">
        <v>209</v>
      </c>
      <c r="C52" s="56" t="s">
        <v>2</v>
      </c>
      <c r="D52" s="68">
        <v>3</v>
      </c>
      <c r="E52" s="44">
        <v>13105</v>
      </c>
      <c r="F52" s="44">
        <v>39315</v>
      </c>
    </row>
    <row r="53" spans="1:6" x14ac:dyDescent="0.3">
      <c r="A53" s="27"/>
      <c r="B53" s="33" t="s">
        <v>211</v>
      </c>
      <c r="C53" s="56" t="s">
        <v>2</v>
      </c>
      <c r="D53" s="68">
        <v>3</v>
      </c>
      <c r="E53" s="44">
        <v>17500</v>
      </c>
      <c r="F53" s="44">
        <v>52500</v>
      </c>
    </row>
    <row r="54" spans="1:6" x14ac:dyDescent="0.3">
      <c r="A54" s="27"/>
      <c r="B54" s="33" t="s">
        <v>216</v>
      </c>
      <c r="C54" s="56" t="s">
        <v>2</v>
      </c>
      <c r="D54" s="68">
        <v>2</v>
      </c>
      <c r="E54" s="44">
        <v>1500</v>
      </c>
      <c r="F54" s="44">
        <v>3000</v>
      </c>
    </row>
    <row r="55" spans="1:6" x14ac:dyDescent="0.3">
      <c r="A55" s="27" t="s">
        <v>271</v>
      </c>
      <c r="B55" s="33" t="s">
        <v>272</v>
      </c>
      <c r="C55" s="56" t="s">
        <v>2</v>
      </c>
      <c r="D55" s="68">
        <v>1</v>
      </c>
      <c r="E55" s="44">
        <v>15000</v>
      </c>
      <c r="F55" s="44">
        <v>15000</v>
      </c>
    </row>
    <row r="56" spans="1:6" x14ac:dyDescent="0.3">
      <c r="A56" s="27" t="s">
        <v>297</v>
      </c>
      <c r="B56" s="33" t="s">
        <v>296</v>
      </c>
      <c r="C56" s="56" t="s">
        <v>298</v>
      </c>
      <c r="D56" s="68">
        <v>1</v>
      </c>
      <c r="E56" s="44">
        <v>25000</v>
      </c>
      <c r="F56" s="44">
        <v>25000</v>
      </c>
    </row>
    <row r="57" spans="1:6" x14ac:dyDescent="0.3">
      <c r="A57" s="27"/>
      <c r="B57" s="33" t="s">
        <v>304</v>
      </c>
      <c r="C57" s="56" t="s">
        <v>305</v>
      </c>
      <c r="D57" s="68">
        <v>1</v>
      </c>
      <c r="E57" s="44">
        <v>54000</v>
      </c>
      <c r="F57" s="44">
        <v>54000</v>
      </c>
    </row>
    <row r="58" spans="1:6" x14ac:dyDescent="0.3">
      <c r="A58" s="27"/>
      <c r="B58" s="33" t="s">
        <v>313</v>
      </c>
      <c r="C58" s="56" t="s">
        <v>305</v>
      </c>
      <c r="D58" s="68">
        <v>1</v>
      </c>
      <c r="E58" s="44">
        <v>90000</v>
      </c>
      <c r="F58" s="44">
        <v>90000</v>
      </c>
    </row>
    <row r="59" spans="1:6" x14ac:dyDescent="0.3">
      <c r="A59" s="27"/>
      <c r="B59" s="33" t="s">
        <v>319</v>
      </c>
      <c r="C59" s="56" t="s">
        <v>305</v>
      </c>
      <c r="D59" s="68">
        <v>1</v>
      </c>
      <c r="E59" s="44">
        <v>40000</v>
      </c>
      <c r="F59" s="44">
        <v>40000</v>
      </c>
    </row>
    <row r="60" spans="1:6" x14ac:dyDescent="0.3">
      <c r="A60" s="27"/>
      <c r="B60" s="33" t="s">
        <v>321</v>
      </c>
      <c r="C60" s="56" t="s">
        <v>2</v>
      </c>
      <c r="D60" s="68">
        <v>1</v>
      </c>
      <c r="E60" s="44">
        <v>50000</v>
      </c>
      <c r="F60" s="44">
        <v>50000</v>
      </c>
    </row>
    <row r="61" spans="1:6" x14ac:dyDescent="0.3">
      <c r="A61" s="27"/>
      <c r="B61" s="33" t="s">
        <v>309</v>
      </c>
      <c r="C61" s="56" t="s">
        <v>305</v>
      </c>
      <c r="D61" s="68">
        <v>1</v>
      </c>
      <c r="E61" s="44">
        <v>84000</v>
      </c>
      <c r="F61" s="44">
        <v>84000</v>
      </c>
    </row>
    <row r="62" spans="1:6" x14ac:dyDescent="0.3">
      <c r="A62" s="27" t="s">
        <v>325</v>
      </c>
      <c r="B62" s="33" t="s">
        <v>332</v>
      </c>
      <c r="C62" s="56" t="s">
        <v>43</v>
      </c>
      <c r="D62" s="68">
        <v>30</v>
      </c>
      <c r="E62" s="44">
        <v>12596</v>
      </c>
      <c r="F62" s="44">
        <v>377880</v>
      </c>
    </row>
    <row r="63" spans="1:6" x14ac:dyDescent="0.3">
      <c r="A63" s="27" t="s">
        <v>349</v>
      </c>
      <c r="B63" s="33" t="s">
        <v>357</v>
      </c>
      <c r="C63" s="56" t="s">
        <v>2</v>
      </c>
      <c r="D63" s="68">
        <v>2</v>
      </c>
      <c r="E63" s="44">
        <v>5000</v>
      </c>
      <c r="F63" s="44">
        <v>10000</v>
      </c>
    </row>
    <row r="64" spans="1:6" x14ac:dyDescent="0.3">
      <c r="A64" s="27"/>
      <c r="B64" s="33" t="s">
        <v>364</v>
      </c>
      <c r="C64" s="56" t="s">
        <v>2</v>
      </c>
      <c r="D64" s="68">
        <v>2</v>
      </c>
      <c r="E64" s="44">
        <v>11000</v>
      </c>
      <c r="F64" s="44">
        <v>22000</v>
      </c>
    </row>
    <row r="65" spans="1:6" x14ac:dyDescent="0.3">
      <c r="A65" s="27"/>
      <c r="B65" s="33" t="s">
        <v>380</v>
      </c>
      <c r="C65" s="56" t="s">
        <v>2</v>
      </c>
      <c r="D65" s="68">
        <v>2</v>
      </c>
      <c r="E65" s="44">
        <v>85000</v>
      </c>
      <c r="F65" s="44">
        <v>170000</v>
      </c>
    </row>
    <row r="66" spans="1:6" x14ac:dyDescent="0.3">
      <c r="A66" s="27"/>
      <c r="B66" s="33" t="s">
        <v>353</v>
      </c>
      <c r="C66" s="56" t="s">
        <v>2</v>
      </c>
      <c r="D66" s="68">
        <v>2</v>
      </c>
      <c r="E66" s="44">
        <v>3500</v>
      </c>
      <c r="F66" s="44">
        <v>7000</v>
      </c>
    </row>
    <row r="67" spans="1:6" x14ac:dyDescent="0.3">
      <c r="A67" s="27" t="s">
        <v>416</v>
      </c>
      <c r="B67" s="33" t="s">
        <v>441</v>
      </c>
      <c r="C67" s="56" t="s">
        <v>2</v>
      </c>
      <c r="D67" s="68">
        <v>2</v>
      </c>
      <c r="E67" s="44">
        <v>1504</v>
      </c>
      <c r="F67" s="44">
        <v>3008</v>
      </c>
    </row>
    <row r="68" spans="1:6" x14ac:dyDescent="0.3">
      <c r="A68" s="27"/>
      <c r="B68" s="33" t="s">
        <v>442</v>
      </c>
      <c r="C68" s="56" t="s">
        <v>2</v>
      </c>
      <c r="D68" s="68">
        <v>2</v>
      </c>
      <c r="E68" s="44">
        <v>1504</v>
      </c>
      <c r="F68" s="44">
        <v>3008</v>
      </c>
    </row>
    <row r="69" spans="1:6" x14ac:dyDescent="0.3">
      <c r="A69" s="27"/>
      <c r="B69" s="33" t="s">
        <v>418</v>
      </c>
      <c r="C69" s="56" t="s">
        <v>2</v>
      </c>
      <c r="D69" s="68">
        <v>2</v>
      </c>
      <c r="E69" s="44">
        <v>1000</v>
      </c>
      <c r="F69" s="44">
        <v>2000</v>
      </c>
    </row>
    <row r="70" spans="1:6" x14ac:dyDescent="0.3">
      <c r="A70" s="27"/>
      <c r="B70" s="33" t="s">
        <v>428</v>
      </c>
      <c r="C70" s="56" t="s">
        <v>2</v>
      </c>
      <c r="D70" s="68">
        <v>2</v>
      </c>
      <c r="E70" s="44">
        <v>200</v>
      </c>
      <c r="F70" s="44">
        <v>400</v>
      </c>
    </row>
    <row r="71" spans="1:6" x14ac:dyDescent="0.3">
      <c r="A71" s="27"/>
      <c r="B71" s="33" t="s">
        <v>430</v>
      </c>
      <c r="C71" s="56" t="s">
        <v>2</v>
      </c>
      <c r="D71" s="68">
        <v>1</v>
      </c>
      <c r="E71" s="44">
        <v>5000</v>
      </c>
      <c r="F71" s="44">
        <v>5000</v>
      </c>
    </row>
    <row r="72" spans="1:6" x14ac:dyDescent="0.3">
      <c r="A72" s="27"/>
      <c r="B72" s="33" t="s">
        <v>432</v>
      </c>
      <c r="C72" s="56" t="s">
        <v>2</v>
      </c>
      <c r="D72" s="68">
        <v>1</v>
      </c>
      <c r="E72" s="44">
        <v>3500</v>
      </c>
      <c r="F72" s="44">
        <v>3500</v>
      </c>
    </row>
    <row r="73" spans="1:6" x14ac:dyDescent="0.3">
      <c r="A73" s="27"/>
      <c r="B73" s="33" t="s">
        <v>436</v>
      </c>
      <c r="C73" s="56" t="s">
        <v>2</v>
      </c>
      <c r="D73" s="68">
        <v>1</v>
      </c>
      <c r="E73" s="44">
        <v>10084</v>
      </c>
      <c r="F73" s="44">
        <v>10084</v>
      </c>
    </row>
    <row r="74" spans="1:6" x14ac:dyDescent="0.3">
      <c r="A74" s="27"/>
      <c r="B74" s="33" t="s">
        <v>444</v>
      </c>
      <c r="C74" s="56" t="s">
        <v>2</v>
      </c>
      <c r="D74" s="68">
        <v>1</v>
      </c>
      <c r="E74" s="44">
        <v>5000</v>
      </c>
      <c r="F74" s="44">
        <v>5000</v>
      </c>
    </row>
    <row r="75" spans="1:6" x14ac:dyDescent="0.3">
      <c r="A75" s="27"/>
      <c r="B75" s="33" t="s">
        <v>446</v>
      </c>
      <c r="C75" s="56" t="s">
        <v>2</v>
      </c>
      <c r="D75" s="68">
        <v>1</v>
      </c>
      <c r="E75" s="44">
        <v>3350</v>
      </c>
      <c r="F75" s="44">
        <v>3350</v>
      </c>
    </row>
    <row r="76" spans="1:6" x14ac:dyDescent="0.3">
      <c r="A76" s="27"/>
      <c r="B76" s="33" t="s">
        <v>439</v>
      </c>
      <c r="C76" s="56" t="s">
        <v>2</v>
      </c>
      <c r="D76" s="68">
        <v>1</v>
      </c>
      <c r="E76" s="44">
        <v>8000</v>
      </c>
      <c r="F76" s="44">
        <v>8000</v>
      </c>
    </row>
    <row r="77" spans="1:6" x14ac:dyDescent="0.3">
      <c r="A77" s="27"/>
      <c r="B77" s="33" t="s">
        <v>443</v>
      </c>
      <c r="C77" s="56" t="s">
        <v>2</v>
      </c>
      <c r="D77" s="68">
        <v>4</v>
      </c>
      <c r="E77" s="44">
        <v>2345</v>
      </c>
      <c r="F77" s="44">
        <v>9380</v>
      </c>
    </row>
    <row r="78" spans="1:6" x14ac:dyDescent="0.3">
      <c r="A78" s="27"/>
      <c r="B78" s="33" t="s">
        <v>431</v>
      </c>
      <c r="C78" s="56" t="s">
        <v>2</v>
      </c>
      <c r="D78" s="68">
        <v>1</v>
      </c>
      <c r="E78" s="44">
        <v>5000</v>
      </c>
      <c r="F78" s="44">
        <v>5000</v>
      </c>
    </row>
    <row r="79" spans="1:6" x14ac:dyDescent="0.3">
      <c r="A79" s="27" t="s">
        <v>451</v>
      </c>
      <c r="B79" s="33" t="s">
        <v>468</v>
      </c>
      <c r="C79" s="56" t="s">
        <v>2</v>
      </c>
      <c r="D79" s="68">
        <v>1</v>
      </c>
      <c r="E79" s="44">
        <v>3300</v>
      </c>
      <c r="F79" s="44">
        <v>3300</v>
      </c>
    </row>
    <row r="80" spans="1:6" x14ac:dyDescent="0.3">
      <c r="A80" s="27"/>
      <c r="B80" s="33" t="s">
        <v>469</v>
      </c>
      <c r="C80" s="56" t="s">
        <v>2</v>
      </c>
      <c r="D80" s="68">
        <v>20</v>
      </c>
      <c r="E80" s="44">
        <v>1200</v>
      </c>
      <c r="F80" s="44">
        <v>24000</v>
      </c>
    </row>
    <row r="81" spans="1:6" x14ac:dyDescent="0.3">
      <c r="A81" s="27"/>
      <c r="B81" s="33" t="s">
        <v>474</v>
      </c>
      <c r="C81" s="56" t="s">
        <v>2</v>
      </c>
      <c r="D81" s="68">
        <v>1</v>
      </c>
      <c r="E81" s="44">
        <v>1100</v>
      </c>
      <c r="F81" s="44">
        <v>1100</v>
      </c>
    </row>
    <row r="82" spans="1:6" x14ac:dyDescent="0.3">
      <c r="A82" s="27"/>
      <c r="B82" s="33" t="s">
        <v>482</v>
      </c>
      <c r="C82" s="56" t="s">
        <v>2</v>
      </c>
      <c r="D82" s="68">
        <v>20</v>
      </c>
      <c r="E82" s="44">
        <v>2765</v>
      </c>
      <c r="F82" s="44">
        <v>55300</v>
      </c>
    </row>
    <row r="83" spans="1:6" x14ac:dyDescent="0.3">
      <c r="A83" s="27"/>
      <c r="B83" s="33" t="s">
        <v>490</v>
      </c>
      <c r="C83" s="56" t="s">
        <v>2</v>
      </c>
      <c r="D83" s="68">
        <v>1</v>
      </c>
      <c r="E83" s="44">
        <v>19400</v>
      </c>
      <c r="F83" s="44">
        <v>19400</v>
      </c>
    </row>
    <row r="84" spans="1:6" x14ac:dyDescent="0.3">
      <c r="A84" s="27"/>
      <c r="B84" s="33" t="s">
        <v>499</v>
      </c>
      <c r="C84" s="56" t="s">
        <v>305</v>
      </c>
      <c r="D84" s="68">
        <v>1</v>
      </c>
      <c r="E84" s="44">
        <v>18000</v>
      </c>
      <c r="F84" s="44">
        <v>18000</v>
      </c>
    </row>
    <row r="85" spans="1:6" x14ac:dyDescent="0.3">
      <c r="A85" s="27"/>
      <c r="B85" s="33" t="s">
        <v>501</v>
      </c>
      <c r="C85" s="56" t="s">
        <v>2</v>
      </c>
      <c r="D85" s="68">
        <v>8</v>
      </c>
      <c r="E85" s="44">
        <v>11000</v>
      </c>
      <c r="F85" s="44">
        <v>88000</v>
      </c>
    </row>
    <row r="86" spans="1:6" x14ac:dyDescent="0.3">
      <c r="A86" s="27"/>
      <c r="B86" s="33" t="s">
        <v>530</v>
      </c>
      <c r="C86" s="56" t="s">
        <v>531</v>
      </c>
      <c r="D86" s="68">
        <v>1</v>
      </c>
      <c r="E86" s="44">
        <v>10500</v>
      </c>
      <c r="F86" s="44">
        <v>10500</v>
      </c>
    </row>
    <row r="87" spans="1:6" x14ac:dyDescent="0.3">
      <c r="A87" s="27"/>
      <c r="B87" s="33" t="s">
        <v>533</v>
      </c>
      <c r="C87" s="56" t="s">
        <v>2</v>
      </c>
      <c r="D87" s="68">
        <v>2</v>
      </c>
      <c r="E87" s="44">
        <v>5450</v>
      </c>
      <c r="F87" s="44">
        <v>10900</v>
      </c>
    </row>
    <row r="88" spans="1:6" x14ac:dyDescent="0.3">
      <c r="A88" s="27"/>
      <c r="B88" s="33" t="s">
        <v>535</v>
      </c>
      <c r="C88" s="56" t="s">
        <v>2</v>
      </c>
      <c r="D88" s="68">
        <v>2</v>
      </c>
      <c r="E88" s="44">
        <v>3000</v>
      </c>
      <c r="F88" s="44">
        <v>6000</v>
      </c>
    </row>
    <row r="89" spans="1:6" x14ac:dyDescent="0.3">
      <c r="A89" s="27"/>
      <c r="B89" s="33" t="s">
        <v>542</v>
      </c>
      <c r="C89" s="56" t="s">
        <v>2</v>
      </c>
      <c r="D89" s="68">
        <v>1</v>
      </c>
      <c r="E89" s="44">
        <v>50000</v>
      </c>
      <c r="F89" s="44">
        <v>50000</v>
      </c>
    </row>
    <row r="90" spans="1:6" x14ac:dyDescent="0.3">
      <c r="A90" s="27"/>
      <c r="B90" s="33" t="s">
        <v>547</v>
      </c>
      <c r="C90" s="56" t="s">
        <v>2</v>
      </c>
      <c r="D90" s="68">
        <v>30</v>
      </c>
      <c r="E90" s="44">
        <v>5151</v>
      </c>
      <c r="F90" s="44">
        <v>154530</v>
      </c>
    </row>
    <row r="91" spans="1:6" x14ac:dyDescent="0.3">
      <c r="A91" s="27"/>
      <c r="B91" s="33" t="s">
        <v>551</v>
      </c>
      <c r="C91" s="56" t="s">
        <v>2</v>
      </c>
      <c r="D91" s="68">
        <v>7</v>
      </c>
      <c r="E91" s="44">
        <v>11336</v>
      </c>
      <c r="F91" s="44">
        <v>79352</v>
      </c>
    </row>
    <row r="92" spans="1:6" x14ac:dyDescent="0.3">
      <c r="A92" s="27"/>
      <c r="B92" s="33" t="s">
        <v>454</v>
      </c>
      <c r="C92" s="56" t="s">
        <v>2</v>
      </c>
      <c r="D92" s="68">
        <v>8</v>
      </c>
      <c r="E92" s="44">
        <v>1000</v>
      </c>
      <c r="F92" s="44">
        <v>8000</v>
      </c>
    </row>
    <row r="93" spans="1:6" x14ac:dyDescent="0.3">
      <c r="A93" s="27"/>
      <c r="B93" s="33" t="s">
        <v>467</v>
      </c>
      <c r="C93" s="56" t="s">
        <v>2</v>
      </c>
      <c r="D93" s="68">
        <v>32</v>
      </c>
      <c r="E93" s="44">
        <v>1263</v>
      </c>
      <c r="F93" s="44">
        <v>40416</v>
      </c>
    </row>
    <row r="94" spans="1:6" x14ac:dyDescent="0.3">
      <c r="A94" s="27"/>
      <c r="B94" s="33" t="s">
        <v>498</v>
      </c>
      <c r="C94" s="56" t="s">
        <v>2</v>
      </c>
      <c r="D94" s="68">
        <v>47</v>
      </c>
      <c r="E94" s="44">
        <v>8951</v>
      </c>
      <c r="F94" s="44">
        <v>420697</v>
      </c>
    </row>
    <row r="95" spans="1:6" x14ac:dyDescent="0.3">
      <c r="A95" s="27"/>
      <c r="B95" s="33" t="s">
        <v>534</v>
      </c>
      <c r="C95" s="56" t="s">
        <v>2</v>
      </c>
      <c r="D95" s="68">
        <v>6</v>
      </c>
      <c r="E95" s="44">
        <v>2690</v>
      </c>
      <c r="F95" s="44">
        <v>16140</v>
      </c>
    </row>
    <row r="96" spans="1:6" x14ac:dyDescent="0.3">
      <c r="A96" s="27"/>
      <c r="B96" s="33" t="s">
        <v>546</v>
      </c>
      <c r="C96" s="56" t="s">
        <v>2</v>
      </c>
      <c r="D96" s="68">
        <v>10</v>
      </c>
      <c r="E96" s="44">
        <v>5151</v>
      </c>
      <c r="F96" s="44">
        <v>51510</v>
      </c>
    </row>
    <row r="97" spans="1:6" x14ac:dyDescent="0.3">
      <c r="A97" s="27"/>
      <c r="B97" s="33" t="s">
        <v>553</v>
      </c>
      <c r="C97" s="56" t="s">
        <v>2</v>
      </c>
      <c r="D97" s="68">
        <v>30</v>
      </c>
      <c r="E97" s="44">
        <v>6222</v>
      </c>
      <c r="F97" s="44">
        <v>186660</v>
      </c>
    </row>
    <row r="98" spans="1:6" x14ac:dyDescent="0.3">
      <c r="A98" s="27" t="s">
        <v>572</v>
      </c>
      <c r="B98" s="33" t="s">
        <v>574</v>
      </c>
      <c r="C98" s="56" t="s">
        <v>2</v>
      </c>
      <c r="D98" s="68">
        <v>1</v>
      </c>
      <c r="E98" s="44">
        <v>150000</v>
      </c>
      <c r="F98" s="44">
        <v>150000</v>
      </c>
    </row>
    <row r="99" spans="1:6" x14ac:dyDescent="0.3">
      <c r="A99" s="27"/>
      <c r="B99" s="33" t="s">
        <v>583</v>
      </c>
      <c r="C99" s="56" t="s">
        <v>2</v>
      </c>
      <c r="D99" s="68">
        <v>1</v>
      </c>
      <c r="E99" s="44">
        <v>100000</v>
      </c>
      <c r="F99" s="44">
        <v>100000</v>
      </c>
    </row>
    <row r="100" spans="1:6" x14ac:dyDescent="0.3">
      <c r="A100" s="27"/>
      <c r="B100" s="33" t="s">
        <v>598</v>
      </c>
      <c r="C100" s="56" t="s">
        <v>2</v>
      </c>
      <c r="D100" s="68">
        <v>1</v>
      </c>
      <c r="E100" s="44">
        <v>300000</v>
      </c>
      <c r="F100" s="44">
        <v>300000</v>
      </c>
    </row>
    <row r="101" spans="1:6" x14ac:dyDescent="0.3">
      <c r="A101" s="27"/>
      <c r="B101" s="33" t="s">
        <v>599</v>
      </c>
      <c r="C101" s="56" t="s">
        <v>2</v>
      </c>
      <c r="D101" s="68">
        <v>2</v>
      </c>
      <c r="E101" s="44">
        <v>50000</v>
      </c>
      <c r="F101" s="44">
        <v>100000</v>
      </c>
    </row>
    <row r="102" spans="1:6" x14ac:dyDescent="0.3">
      <c r="A102" s="27"/>
      <c r="B102" s="33" t="s">
        <v>581</v>
      </c>
      <c r="C102" s="56" t="s">
        <v>2</v>
      </c>
      <c r="D102" s="68">
        <v>1</v>
      </c>
      <c r="E102" s="44">
        <v>100000</v>
      </c>
      <c r="F102" s="44">
        <v>100000</v>
      </c>
    </row>
    <row r="103" spans="1:6" x14ac:dyDescent="0.3">
      <c r="A103" s="27"/>
      <c r="B103" s="33" t="s">
        <v>584</v>
      </c>
      <c r="C103" s="56" t="s">
        <v>2</v>
      </c>
      <c r="D103" s="68">
        <v>1</v>
      </c>
      <c r="E103" s="44">
        <v>100000</v>
      </c>
      <c r="F103" s="44">
        <v>100000</v>
      </c>
    </row>
    <row r="104" spans="1:6" x14ac:dyDescent="0.3">
      <c r="A104" s="27"/>
      <c r="B104" s="33" t="s">
        <v>586</v>
      </c>
      <c r="C104" s="56" t="s">
        <v>2</v>
      </c>
      <c r="D104" s="68">
        <v>1</v>
      </c>
      <c r="E104" s="44">
        <v>120000</v>
      </c>
      <c r="F104" s="44">
        <v>120000</v>
      </c>
    </row>
    <row r="105" spans="1:6" x14ac:dyDescent="0.3">
      <c r="A105" s="27"/>
      <c r="B105" s="33" t="s">
        <v>595</v>
      </c>
      <c r="C105" s="56" t="s">
        <v>531</v>
      </c>
      <c r="D105" s="68">
        <v>1</v>
      </c>
      <c r="E105" s="44">
        <v>16000</v>
      </c>
      <c r="F105" s="44">
        <v>16000</v>
      </c>
    </row>
    <row r="106" spans="1:6" x14ac:dyDescent="0.3">
      <c r="A106" s="27"/>
      <c r="B106" s="33" t="s">
        <v>597</v>
      </c>
      <c r="C106" s="56" t="s">
        <v>2</v>
      </c>
      <c r="D106" s="68">
        <v>1</v>
      </c>
      <c r="E106" s="44">
        <v>200000</v>
      </c>
      <c r="F106" s="44">
        <v>200000</v>
      </c>
    </row>
    <row r="107" spans="1:6" x14ac:dyDescent="0.3">
      <c r="A107" s="27"/>
      <c r="B107" s="33" t="s">
        <v>601</v>
      </c>
      <c r="C107" s="56" t="s">
        <v>2</v>
      </c>
      <c r="D107" s="68">
        <v>1</v>
      </c>
      <c r="E107" s="44">
        <v>25000</v>
      </c>
      <c r="F107" s="44">
        <v>25000</v>
      </c>
    </row>
    <row r="108" spans="1:6" x14ac:dyDescent="0.3">
      <c r="A108" s="27"/>
      <c r="B108" s="33" t="s">
        <v>594</v>
      </c>
      <c r="C108" s="56" t="s">
        <v>2</v>
      </c>
      <c r="D108" s="68">
        <v>1</v>
      </c>
      <c r="E108" s="44">
        <v>250000</v>
      </c>
      <c r="F108" s="44">
        <v>250000</v>
      </c>
    </row>
    <row r="109" spans="1:6" x14ac:dyDescent="0.3">
      <c r="A109" s="27"/>
      <c r="B109" s="33" t="s">
        <v>853</v>
      </c>
      <c r="C109" s="56"/>
      <c r="D109" s="68" t="s">
        <v>853</v>
      </c>
      <c r="E109" s="44"/>
      <c r="F109" s="44"/>
    </row>
    <row r="110" spans="1:6" x14ac:dyDescent="0.3">
      <c r="A110" s="27" t="s">
        <v>275</v>
      </c>
      <c r="B110" s="33" t="s">
        <v>279</v>
      </c>
      <c r="C110" s="56" t="s">
        <v>2</v>
      </c>
      <c r="D110" s="68">
        <v>7</v>
      </c>
      <c r="E110" s="44">
        <v>9235.2941176470595</v>
      </c>
      <c r="F110" s="44">
        <v>64647.058823529413</v>
      </c>
    </row>
    <row r="111" spans="1:6" x14ac:dyDescent="0.3">
      <c r="A111" s="27"/>
      <c r="B111" s="33" t="s">
        <v>289</v>
      </c>
      <c r="C111" s="56" t="s">
        <v>2</v>
      </c>
      <c r="D111" s="68">
        <v>1</v>
      </c>
      <c r="E111" s="44">
        <v>3500</v>
      </c>
      <c r="F111" s="44">
        <v>3500</v>
      </c>
    </row>
    <row r="112" spans="1:6" x14ac:dyDescent="0.3">
      <c r="A112" s="28"/>
      <c r="B112" s="66" t="s">
        <v>283</v>
      </c>
      <c r="C112" s="57" t="s">
        <v>2</v>
      </c>
      <c r="D112" s="69">
        <v>8</v>
      </c>
      <c r="E112" s="45">
        <v>5000</v>
      </c>
      <c r="F112" s="45">
        <v>40000</v>
      </c>
    </row>
  </sheetData>
  <mergeCells count="4">
    <mergeCell ref="D2:F2"/>
    <mergeCell ref="D4:E4"/>
    <mergeCell ref="D5:E5"/>
    <mergeCell ref="D6:E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BD Total</vt:lpstr>
      <vt:lpstr>Desplegables</vt:lpstr>
      <vt:lpstr>BD Modelo</vt:lpstr>
      <vt:lpstr>Cubicador</vt:lpstr>
      <vt:lpstr>Categorias Varios</vt:lpstr>
      <vt:lpstr>1 - Modelo</vt:lpstr>
      <vt:lpstr>2 - Traspasar Modelo</vt:lpstr>
      <vt:lpstr>1 - Cotizador Personalizado</vt:lpstr>
      <vt:lpstr>2 - Margenes Proyecto</vt:lpstr>
      <vt:lpstr>3 - Impresión Personalizado</vt:lpstr>
      <vt:lpstr>4 - Impresión  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Cevo</dc:creator>
  <cp:keywords/>
  <dc:description/>
  <cp:lastModifiedBy>Mauricio Cevo</cp:lastModifiedBy>
  <cp:revision/>
  <dcterms:created xsi:type="dcterms:W3CDTF">2025-07-29T03:14:27Z</dcterms:created>
  <dcterms:modified xsi:type="dcterms:W3CDTF">2026-02-10T20:03:47Z</dcterms:modified>
  <cp:category/>
  <cp:contentStatus/>
</cp:coreProperties>
</file>